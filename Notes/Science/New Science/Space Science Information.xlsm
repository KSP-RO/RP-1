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an paplaczyk\Dropbox\GAMES\KSP\Git\RP-0\Notes\Science\New Science\"/>
    </mc:Choice>
  </mc:AlternateContent>
  <bookViews>
    <workbookView xWindow="0" yWindow="0" windowWidth="28800" windowHeight="12300" firstSheet="5" activeTab="7"/>
  </bookViews>
  <sheets>
    <sheet name="High Particle Astrophysics" sheetId="1" r:id="rId1"/>
    <sheet name="X-Ray Telescopes" sheetId="2" r:id="rId2"/>
    <sheet name="Science Experiments" sheetId="3" r:id="rId3"/>
    <sheet name="Disciplines" sheetId="4" r:id="rId4"/>
    <sheet name="Physics and Astronomy" sheetId="5" r:id="rId5"/>
    <sheet name="Satellite Launches" sheetId="6" r:id="rId6"/>
    <sheet name="References" sheetId="7" r:id="rId7"/>
    <sheet name="Equipment" sheetId="8" r:id="rId8"/>
  </sheets>
  <externalReferences>
    <externalReference r:id="rId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2" i="8" l="1"/>
  <c r="I94" i="8"/>
  <c r="I102" i="8"/>
  <c r="I93" i="8"/>
  <c r="H92" i="8"/>
  <c r="J97" i="8"/>
  <c r="H206" i="8"/>
  <c r="H94" i="8"/>
  <c r="G206" i="8"/>
  <c r="G94" i="8"/>
  <c r="G92" i="8"/>
  <c r="H93" i="8" l="1"/>
  <c r="G93" i="8"/>
  <c r="H25" i="8"/>
  <c r="G25" i="8"/>
</calcChain>
</file>

<file path=xl/sharedStrings.xml><?xml version="1.0" encoding="utf-8"?>
<sst xmlns="http://schemas.openxmlformats.org/spreadsheetml/2006/main" count="1164" uniqueCount="560">
  <si>
    <t>AGILE</t>
  </si>
  <si>
    <t>Gamma Ray Science</t>
  </si>
  <si>
    <t>Has a gamma-ray detector, sensitive to photons with energy in the range 30 MeV - 50 GeV, and a hard X-ray detector, sensitive in the range 18 - 60 keV.</t>
  </si>
  <si>
    <t>Spacecraft</t>
  </si>
  <si>
    <t>Research</t>
  </si>
  <si>
    <t>Science Details</t>
  </si>
  <si>
    <t>Launched</t>
  </si>
  <si>
    <t>Sources</t>
  </si>
  <si>
    <t>Chandra X-Ray Observatory</t>
  </si>
  <si>
    <t>Advanced X-Ray Astrophysics</t>
  </si>
  <si>
    <t>X-ray Telescope Mirrors</t>
  </si>
  <si>
    <t>Mirror Characteristic</t>
  </si>
  <si>
    <t>Einstein</t>
  </si>
  <si>
    <t>EXOSAT</t>
  </si>
  <si>
    <t>ROSAT</t>
  </si>
  <si>
    <t>BBXRT/ASCA</t>
  </si>
  <si>
    <t>Chandra</t>
  </si>
  <si>
    <t>XMM</t>
  </si>
  <si>
    <t>aperture diameter</t>
  </si>
  <si>
    <t>58 cm</t>
  </si>
  <si>
    <t>28 cm</t>
  </si>
  <si>
    <t>83 cm</t>
  </si>
  <si>
    <t>1.2 m</t>
  </si>
  <si>
    <t>mirrors</t>
  </si>
  <si>
    <t>4 nested</t>
  </si>
  <si>
    <t>2 nested</t>
  </si>
  <si>
    <t>58 nested</t>
  </si>
  <si>
    <t>geometric area</t>
  </si>
  <si>
    <t>grazing angles</t>
  </si>
  <si>
    <t>(arcmin)</t>
  </si>
  <si>
    <t>40-70</t>
  </si>
  <si>
    <t>90-110</t>
  </si>
  <si>
    <t>83-135</t>
  </si>
  <si>
    <t>21-45</t>
  </si>
  <si>
    <t>27-51</t>
  </si>
  <si>
    <t>18-40</t>
  </si>
  <si>
    <t>focal length (m)</t>
  </si>
  <si>
    <t>mirror coating</t>
  </si>
  <si>
    <t>Ni</t>
  </si>
  <si>
    <t>Au</t>
  </si>
  <si>
    <t>Ir</t>
  </si>
  <si>
    <t>highest energy focused (keV)</t>
  </si>
  <si>
    <t>on axis resolution (arcsec)</t>
  </si>
  <si>
    <t>40 cm one module</t>
  </si>
  <si>
    <t>70 cm one module</t>
  </si>
  <si>
    <t>118 nested one module</t>
  </si>
  <si>
    <t>4 nested one module</t>
  </si>
  <si>
    <t>1400 two modules</t>
  </si>
  <si>
    <t>6000 three modules</t>
  </si>
  <si>
    <t>High resolution mirror, two imaging detectors, and two sets of transmission gratings. Important Chandra features are: an order of magnitude improvement in spatial resolution, good sensitivity from 0.1 to 10 keV, and the capability for high spectral resolution observations over most of this range. Chandra is in an elliptical high-earth orbit allowing uninterrupted observing intervals of more than 48 hours in length.</t>
  </si>
  <si>
    <t>Notes</t>
  </si>
  <si>
    <t>Wide variety of high‐energy phenomena in an all‐encompassing range of astronomical objects are being observed.</t>
  </si>
  <si>
    <t>Overview of the Performance and Scientific Results from the Chandra X-Ray Observatory (2002)</t>
  </si>
  <si>
    <t>High Energy Astrophysics with AGILE (2004)</t>
  </si>
  <si>
    <t>Fermi Gamma Ray Telescope</t>
  </si>
  <si>
    <t>Fermi has an imaging gamma-ray telescope vastly more capable than instruments flown previously, as well as a secondary instrument to augment the study of gamma-ray bursts.</t>
  </si>
  <si>
    <t>https://fermi.gsfc.nasa.gov/science/overview.html</t>
  </si>
  <si>
    <t>Explorer 1</t>
  </si>
  <si>
    <t>Geiger-Mueller Detector (Cosmic-Ray Detector)</t>
  </si>
  <si>
    <t>Wire Grid &amp; Acoustic Detector (Micrometeorite Detector)</t>
  </si>
  <si>
    <t>Eroton Guage (Micrometeorite Detector)</t>
  </si>
  <si>
    <t>Explorer 3</t>
  </si>
  <si>
    <t>Charged Particle Tests</t>
  </si>
  <si>
    <t>Explorer 4</t>
  </si>
  <si>
    <t>Geodesy</t>
  </si>
  <si>
    <t>Vanguard 1</t>
  </si>
  <si>
    <t>Discovered Earth was Pear Shaped</t>
  </si>
  <si>
    <t>Discovered Van Allen Radiation Belts</t>
  </si>
  <si>
    <t>Earth science of accurately measuring and understanding the Earth's geometric shape, orientation in space and gravitational field.</t>
  </si>
  <si>
    <t>Geometric Shape, Doppler tracking (Transit), Earth Height Mapping (SCANSat)</t>
  </si>
  <si>
    <t>Discipline</t>
  </si>
  <si>
    <t>Description</t>
  </si>
  <si>
    <t>How Tested and Researched</t>
  </si>
  <si>
    <t>To increase our knowledge of the environment of the earth and interplanetary space; to study the sun and to determine its influence in interplanetary space and on the environment of the earth; to expand our knowledge of the structure and history of the universe through astronomical observations; and to extend our knowledge of astrophysical laws through the conduct of experiments in space</t>
  </si>
  <si>
    <t>The program embraced several disciplines-astronomy and geodesy, solar physics, particles and fields, ionospheric physics, and radio physics among others. Generally, NASA physics and astronomy projects were designed to obtain new information about the stars, interplanetary
space, and the sun that was not obtainable with ground-based instruments. Supplemented by balloons and aircraft-borne experiments, the physics and astronomy flight projects included sounding rockets, small scientific satellites (Explorers), Pioneer probes, and geophysical, astronomical, and solar orbiting observatories (platforms).</t>
  </si>
  <si>
    <t>Energetic Particles</t>
  </si>
  <si>
    <t>Mission Class</t>
  </si>
  <si>
    <t>Program</t>
  </si>
  <si>
    <t>Explorer</t>
  </si>
  <si>
    <t>Craft</t>
  </si>
  <si>
    <t>6,7,10,12,14,15,26</t>
  </si>
  <si>
    <t>Atmospheric Studies</t>
  </si>
  <si>
    <t>9,17,9,32</t>
  </si>
  <si>
    <t>Ionospheric Studies</t>
  </si>
  <si>
    <t>8,20,22,27,31</t>
  </si>
  <si>
    <t>Micrometeoroid</t>
  </si>
  <si>
    <t>13,16,23</t>
  </si>
  <si>
    <t>Interplanetary Monitoring</t>
  </si>
  <si>
    <t>18,21,28,33,34,45</t>
  </si>
  <si>
    <t>Air Density-Injun Explorers</t>
  </si>
  <si>
    <t>24,25,39,40</t>
  </si>
  <si>
    <t>Radio Astronomy</t>
  </si>
  <si>
    <t>29,36</t>
  </si>
  <si>
    <t>Gamma Ray Astronomy</t>
  </si>
  <si>
    <t>Solar</t>
  </si>
  <si>
    <t>30,37</t>
  </si>
  <si>
    <t>Satellite</t>
  </si>
  <si>
    <t>Launch Date</t>
  </si>
  <si>
    <t>Weight (lb)</t>
  </si>
  <si>
    <t>Experiments</t>
  </si>
  <si>
    <t>Sputnik 1</t>
  </si>
  <si>
    <t>Sputnik 2</t>
  </si>
  <si>
    <t>Short wave UV Detector, X-Ray Detector, Cosmic Rays, Laika, Temperature, Pressure</t>
  </si>
  <si>
    <t>Country</t>
  </si>
  <si>
    <t>Soviet Union</t>
  </si>
  <si>
    <t>USA</t>
  </si>
  <si>
    <t>Geiger Tube, Micrometeorite (Microphone, Wire Grid), Temperature</t>
  </si>
  <si>
    <t>Pe (mi)</t>
  </si>
  <si>
    <t>Ap (mi)</t>
  </si>
  <si>
    <t>Inc</t>
  </si>
  <si>
    <t>LV</t>
  </si>
  <si>
    <t>Electronics (telemetry)</t>
  </si>
  <si>
    <t>Geiger-Muller, Micrometeorite (Gage), Temperature, Data Storage</t>
  </si>
  <si>
    <t>Juno I</t>
  </si>
  <si>
    <t>Sputnik 3</t>
  </si>
  <si>
    <t>Magnetometer, Solar Corpuscular Radiation Detector, Cosmic ray Photon Detector, Manetic Manometer, Ionization Manometer, Ion Traps, Electrostatic Fluxmeter, RF Mass Spectrometer, Detector for Heavy Nuclei in Cosmic Rays, Primary Cosmic Ray Monitor, Micrometeorite Detectors</t>
  </si>
  <si>
    <t>Geiger Muller (Anton 302, Shielded Anton 302), Scintillation Counter (Plastic, CsI)</t>
  </si>
  <si>
    <t>SCORE</t>
  </si>
  <si>
    <t>Atlas</t>
  </si>
  <si>
    <t>Communications Repeater</t>
  </si>
  <si>
    <t>Luna 1</t>
  </si>
  <si>
    <t>Cosmic Ray Counter (Impulse Recording, Scintillation), Sodium Cloud, Magnetometer, Proton Traps</t>
  </si>
  <si>
    <t>Vanguard 2</t>
  </si>
  <si>
    <t>Vanguard</t>
  </si>
  <si>
    <t>Optical Telescope</t>
  </si>
  <si>
    <t>Mercury batteries</t>
  </si>
  <si>
    <t>https://ntrs.nasa.gov/archive/nasa/casi.ntrs.nasa.gov/19660023785.pdf</t>
  </si>
  <si>
    <t>https://ntrs.nasa.gov/archive/nasa/casi.ntrs.nasa.gov/19630040001.pdf</t>
  </si>
  <si>
    <t>Explorer Satellite Electronics</t>
  </si>
  <si>
    <t>Equipment</t>
  </si>
  <si>
    <t>Pioneer 0-3</t>
  </si>
  <si>
    <t>https://ntrs.nasa.gov/archive/nasa/casi.ntrs.nasa.gov/19990008156.pdf</t>
  </si>
  <si>
    <t>Includes batteries for 240 hours of life</t>
  </si>
  <si>
    <t>Pioneer 1</t>
  </si>
  <si>
    <t>Ion Chamber, Search-coil magnetometer, Micrometeorite, Thermometer, TV Scanner</t>
  </si>
  <si>
    <t>Thor-Able</t>
  </si>
  <si>
    <t>Pioneer 3</t>
  </si>
  <si>
    <t>Juno II</t>
  </si>
  <si>
    <t>Pioneer 2</t>
  </si>
  <si>
    <t>Ion Chamber, Search-coil magnetometer, Micrometeorite, Thermometer, STL TV</t>
  </si>
  <si>
    <t>Geiger Counter</t>
  </si>
  <si>
    <t>Discoverer 1</t>
  </si>
  <si>
    <t>Thor-Agena</t>
  </si>
  <si>
    <t>Pioneer 4</t>
  </si>
  <si>
    <t>Anton Type 213 Geiger Tube</t>
  </si>
  <si>
    <t>Discoverer 2</t>
  </si>
  <si>
    <t>Instrument Package (Comms, Telemetry) = 245lb, Reentry Capsule &amp; Equipment = 195lb</t>
  </si>
  <si>
    <t>Explorer 6</t>
  </si>
  <si>
    <t>Triple-Coincidence Telescopes (Cosmic Radiation), Scintillation Counter (Low Energy Particles), Ionization Chamber (High Energy Particles), Spin Coil Magnetometer, Fluxgate Magnetometer, Aspect Sensor, Image Scanning TV System (Cloud cover images), Micrometeorite (Momentum Spectrometer), UHF &amp; VHF Transmitters (Electron Density), VLF Receiver (Monitor VLF Electromagnetic)</t>
  </si>
  <si>
    <t>Luna 2</t>
  </si>
  <si>
    <t>Measure Earth/Moon Magnetic Fields, Cosmic Radiation, Micrometeorites, Temperature</t>
  </si>
  <si>
    <t>Vanguard 3</t>
  </si>
  <si>
    <t>Magnetometer (Proton Procession), Ionization Chambers, Environmental Measuring (Thermistors, Pressure Gauge, Microphones)</t>
  </si>
  <si>
    <t>Luna 3</t>
  </si>
  <si>
    <t>Lunar Impact</t>
  </si>
  <si>
    <t>Lunar Flyby</t>
  </si>
  <si>
    <t>Lunar Free Return, Science Instruments = 345lb</t>
  </si>
  <si>
    <t>Automatic Dual-Lens Camera System with Film Storage</t>
  </si>
  <si>
    <t>Explorer 7</t>
  </si>
  <si>
    <t>Radiation &amp; Heat Balance Detector, X-Ray Detector, Lyman Alpha Detector, Ionization Chamber, Silicon Solar Cell Experiment, Thermometer (internal), Solar Aspect Cell (determine attitude to Sun)</t>
  </si>
  <si>
    <t>Pioneer 5</t>
  </si>
  <si>
    <t>Triple-Coincidence Telescopes (Cosmic Radiation), Search-coil Magnetometer, Ionization Chamber, Geiger-Mueller Tube, Micrometeorite, Thermistors, Photoelectric-cell aspect indicator</t>
  </si>
  <si>
    <t>Interplanetary space between Earth-Venus</t>
  </si>
  <si>
    <t>TIROS 1</t>
  </si>
  <si>
    <t>TV Camera (Wide Angle), TV Camera (Narrow Angle)</t>
  </si>
  <si>
    <t>Transit 1B</t>
  </si>
  <si>
    <t>Infrared Scanner (Infrared Albedo Level of Earth)</t>
  </si>
  <si>
    <t>Navigation Testing</t>
  </si>
  <si>
    <t>Thor-Able Star</t>
  </si>
  <si>
    <t>Sputnik 4 (Korabl-Sputnik)</t>
  </si>
  <si>
    <t>Environmental Control System</t>
  </si>
  <si>
    <t>Human Rated Spacecraft testing with dummy Crew</t>
  </si>
  <si>
    <t>Midas 1</t>
  </si>
  <si>
    <t>Atlas-Agena A</t>
  </si>
  <si>
    <t>Infrared Radiation Detection</t>
  </si>
  <si>
    <t>Transit 2A</t>
  </si>
  <si>
    <t>Cosmic-Noise Radiometer</t>
  </si>
  <si>
    <t>Fixed position of craft on surface</t>
  </si>
  <si>
    <t>Sunray 1</t>
  </si>
  <si>
    <t>Lyman-Alpha Ionization Chambers, X-Ray Ionization Chamber Detector, Solar Aspect Indicator</t>
  </si>
  <si>
    <t>Courier 1A</t>
  </si>
  <si>
    <t>Tape Recorders, Dual UHF Receivers, FM Microwave Receivers</t>
  </si>
  <si>
    <t>Determine capabilities of jam-proof communications</t>
  </si>
  <si>
    <t>Cosmic-Ray Detector, X-Ray Detector, UV Radiation Detector, Biological Experiments</t>
  </si>
  <si>
    <t>Launch Human Rated Craft and Return Safely</t>
  </si>
  <si>
    <t>Courier 1B</t>
  </si>
  <si>
    <t>Explorer 8</t>
  </si>
  <si>
    <t>RF Impedance Probe, Ion Current Monitor, Retarding Potential Probe, Two-Element Electron Temperature Probe, Three-Element Electron Temperature Probe, Electron Current Monitor, Total Current Monitor, Micrometeorite (Photomultiplier), Micrometeorite (Microphone), Electric Field Meter, Solar Horizon Sensor, Thermistor</t>
  </si>
  <si>
    <t>To make measurements in the ionosphere of the electron density, the electron temperature, and the ion concentration and mass. To study the temporal and spatial distribution of the ionospheric properties
and their variation from full sunlit conditions to full shadow, or nighttime, conditions. To measure the charge accumulation on the satellite. To measure the frequency, momentum and energy of micrometeorite impacts.</t>
  </si>
  <si>
    <t>TIROS 2</t>
  </si>
  <si>
    <t>5-channel Medium-Resolution Radiometer, 2-channel Low Resolution Radiometer, TV Camera (Wide Angle), TV Camera (Narrow Angle)</t>
  </si>
  <si>
    <t>Thor-Delta</t>
  </si>
  <si>
    <t>Sputnik 5 (Korabl-Sputnik 2)</t>
  </si>
  <si>
    <t>Sputnik 6 (Korabl-Sputnik 3)</t>
  </si>
  <si>
    <t>Venera 1</t>
  </si>
  <si>
    <t>Venus Flyby</t>
  </si>
  <si>
    <t>Explorer 9</t>
  </si>
  <si>
    <t>Density of Earth's Atmosphere with inflatable sphere</t>
  </si>
  <si>
    <t>Scout (Algol, Castor, Antares, Altair)</t>
  </si>
  <si>
    <t>Transit 3B</t>
  </si>
  <si>
    <t>Doppler Shift Measurement for global navigation</t>
  </si>
  <si>
    <t>LOFTI</t>
  </si>
  <si>
    <t>Launched with Transit 3B</t>
  </si>
  <si>
    <t>20-in sphere to explore low-frequency radio wave propagation</t>
  </si>
  <si>
    <t>Korabl-Sputnik 4</t>
  </si>
  <si>
    <t>Crewed Spaceflight Testing with Biological Animals</t>
  </si>
  <si>
    <t>Korabl-Sputnik 5</t>
  </si>
  <si>
    <t>Explorer 10</t>
  </si>
  <si>
    <t>Rudidium-vapor Magnetometer, Fluxgate Magentometers, Plasma Probe, Optical Aspect Sensor</t>
  </si>
  <si>
    <t>Vostok 1</t>
  </si>
  <si>
    <t>First Human in Orbit</t>
  </si>
  <si>
    <t>Explorer 11</t>
  </si>
  <si>
    <t>Gamma Ray Telescope (S-15), Micrometorite (Shield), Temperature (internal), Sun &amp; Earth Sensor</t>
  </si>
  <si>
    <t>Detect extraterrestrial high-energy gamma rays from neutral pi mason decay, map the spatial distribution of the decay gamma rays</t>
  </si>
  <si>
    <t>Discoverer 25</t>
  </si>
  <si>
    <t>Geiger Tubes, Ion Density Gauges, Micrometeorites (Density Guages)</t>
  </si>
  <si>
    <t>Capsule Return</t>
  </si>
  <si>
    <t>Injun 1</t>
  </si>
  <si>
    <t>`</t>
  </si>
  <si>
    <t>Cadmium sulfide detectors, Silicon P-N junction detectors, Geiger-Mueller Tube (Anton 213), Electronc Spectrometer, Photometer (Aurora-Airglow), Fluxgate Magnetometer</t>
  </si>
  <si>
    <t>Discoverer 26</t>
  </si>
  <si>
    <t>Silicon, Iron, Bismuth, Yttrium, Magneisum, Nickel, Lead, Uranium (exposed to space for 50 hrs)</t>
  </si>
  <si>
    <t>Explorer 12</t>
  </si>
  <si>
    <t>Proton Analyzer, Magnetometer, Cosmic Ray, Ion-electron Detector</t>
  </si>
  <si>
    <t>Discoverer 31</t>
  </si>
  <si>
    <t>LRL Electron Spectrometer, LRL X-Ray Counter, AFCRL Proton and Alpha Particle Detector, Galactic RF Detector</t>
  </si>
  <si>
    <t>TRAAC</t>
  </si>
  <si>
    <t>Gravity Gradient Stabilization, Particle Detectors</t>
  </si>
  <si>
    <t>Test the feasibility of a spacecraft stabilization system utilizing Earth's Gravitational Field</t>
  </si>
  <si>
    <t>Injun 2</t>
  </si>
  <si>
    <t>Geiger-Mueller (Type 302), Geiger-Mueller (Type 213), Photometer, Magnetometers</t>
  </si>
  <si>
    <t>Secor</t>
  </si>
  <si>
    <t>Range Calibration Data</t>
  </si>
  <si>
    <t>Surcal</t>
  </si>
  <si>
    <t>Measurement of Refraction of Radio Waves in Ionosphere</t>
  </si>
  <si>
    <t>Vidicon TV Camera, Gamma-ray spectrometer, Radar Altimeter, Seismometer</t>
  </si>
  <si>
    <t>OSO 1</t>
  </si>
  <si>
    <t>Delta</t>
  </si>
  <si>
    <t>Make scientific observations of the sun and space</t>
  </si>
  <si>
    <t>Soft X-Ray Spectrometer (10-400 Solar Radiation), Gamma Ray Detector (0.510 Mev Gamma Ray Monitor), X-Ray Detector (20-100 Kev X-Ray Monitor), Ionization Chambers (1-8 X-Ray Monitor), Dust Particle Detector (Interplanetary Dust Particle),  Solar Radiation Detector (3800-4800 Solar Radiation), Hydrogen Lyman-Alpha Detector (1100-1250 Solar Radiation), Gamma Ray Detector (0.2-1.5 Mev Solar Gamma Radiation), Gamma Ray Detector (50 Kev-3Mev Solar Gamma Radiation), Neutron Detecror, Proton-Electron Detector (Lower Van Allen Particles), High-Energy Gamma Ray Detector (100-500 Mev Solar Gamma Radiation)</t>
  </si>
  <si>
    <t>Ranger 3, Ranger 4</t>
  </si>
  <si>
    <t>Year</t>
  </si>
  <si>
    <t>Microwave Radiometer</t>
  </si>
  <si>
    <t>Infrared Radiometer</t>
  </si>
  <si>
    <t>Micrometeroid Detector</t>
  </si>
  <si>
    <t>Solar Plasma Spectrometer</t>
  </si>
  <si>
    <t>Mariner 2</t>
  </si>
  <si>
    <t>Microwave Radiometer, Infrared Radiometer, Flux Gate Magentometer, Energetic Particle Detectors, Micrometeroid Detector, Solar Plasma Spectrometer</t>
  </si>
  <si>
    <t>TAVE</t>
  </si>
  <si>
    <t>Accelerometers</t>
  </si>
  <si>
    <t>Study the vibration during launch on a Thor-Agena</t>
  </si>
  <si>
    <t>Field Strength Range from 5 to 500 Gama, Accuracy +/- 5 gamma</t>
  </si>
  <si>
    <t>Ion-Electron Detector</t>
  </si>
  <si>
    <t>Explorer 14</t>
  </si>
  <si>
    <t>Electron Energy Distribution</t>
  </si>
  <si>
    <t>Electron Angular Distribution</t>
  </si>
  <si>
    <t>Omnidirectional Electron-Proton Detector</t>
  </si>
  <si>
    <t>Directional Electron-Proton Detector</t>
  </si>
  <si>
    <t>Explorer 15</t>
  </si>
  <si>
    <t>Study radiation belt from nuclear blast</t>
  </si>
  <si>
    <t>Phototelevision Camera</t>
  </si>
  <si>
    <t>Mars 1</t>
  </si>
  <si>
    <t>Obtain high resolution photography of Martian Surface</t>
  </si>
  <si>
    <t>Infrared Spectrometer</t>
  </si>
  <si>
    <t>Study distribution of organic matter on Martian Surface</t>
  </si>
  <si>
    <t>Ultraviolet Spectrometer</t>
  </si>
  <si>
    <t>Determine presence of ozone in the Martian Atmosphere</t>
  </si>
  <si>
    <t>Magnetometer</t>
  </si>
  <si>
    <t>Measure interplanetary Magnetic Field and Magnetic Field of Mars</t>
  </si>
  <si>
    <t>Gas Discharge &amp; Scintillation Guages</t>
  </si>
  <si>
    <t>Nuclear component of primary radiation, study Martian Radation belts</t>
  </si>
  <si>
    <t>Radiotelescope</t>
  </si>
  <si>
    <t>Study low-frequency Galactic Radio Noise in the 150 and 1500 m bands</t>
  </si>
  <si>
    <t>Ion Traps</t>
  </si>
  <si>
    <t>Study distribution of positive ions in and near Martian Atmosphere</t>
  </si>
  <si>
    <t>Micrometeorite Detector</t>
  </si>
  <si>
    <t>Determine momentum spectrom of dust particles</t>
  </si>
  <si>
    <t>Injun 3</t>
  </si>
  <si>
    <t>Proton-Electron Detector</t>
  </si>
  <si>
    <t>Pulse Scintillator</t>
  </si>
  <si>
    <t>APL Proton Spectrometer</t>
  </si>
  <si>
    <t>Rubidium-Vapor Magnetometer</t>
  </si>
  <si>
    <t>Ionization Chamber</t>
  </si>
  <si>
    <t>TV Subsystem</t>
  </si>
  <si>
    <t>Ranger 6</t>
  </si>
  <si>
    <t>Galactic Noise</t>
  </si>
  <si>
    <t>Ariel 2</t>
  </si>
  <si>
    <t>Measure cosmic background radiation frequency 0.75 mc to 3.0 mc</t>
  </si>
  <si>
    <t>OGO 1</t>
  </si>
  <si>
    <t>Solar Cosmic Ray Physics</t>
  </si>
  <si>
    <t>Plasma Electrostatic Analyzer</t>
  </si>
  <si>
    <t>Plasma Faraday Cup</t>
  </si>
  <si>
    <t>Positron Search &amp; Gamma Ray Spectrum</t>
  </si>
  <si>
    <t>Trapped Radiation Scintillation Counter</t>
  </si>
  <si>
    <t>Cosmic Ray Isotopic Abundance</t>
  </si>
  <si>
    <t>Cosmic Ray Spectra and Fluxes</t>
  </si>
  <si>
    <t>Trapped Radiation Omnidirectional Counter</t>
  </si>
  <si>
    <t>Trapped Radiation Electron Spectrometer</t>
  </si>
  <si>
    <t>Search Coil Magnetometer</t>
  </si>
  <si>
    <t>Spherical Ion and Electron Trap</t>
  </si>
  <si>
    <t>Planar Ion and Electron Trap</t>
  </si>
  <si>
    <t>Radio Propagation</t>
  </si>
  <si>
    <t>Interplanetary Dust Particles</t>
  </si>
  <si>
    <t>VLF Noise and Propagation</t>
  </si>
  <si>
    <t>Geocoronel Lyman-Alpha Scattering</t>
  </si>
  <si>
    <t>Gegenschein Photometry</t>
  </si>
  <si>
    <t>Measure the form and time variation of solar cosmic rays up to 90 Mev</t>
  </si>
  <si>
    <t>Obtain a better understanding of low energy particles - Essential to understanding Magnetic Fields distribution</t>
  </si>
  <si>
    <t>Study solar plasma an influence on Earth's magnetosphere</t>
  </si>
  <si>
    <t>Determine if low energy positrons are trapped temporarily or permanently in the Van Allen Belts</t>
  </si>
  <si>
    <t>Study variations in intensities of energetic particles</t>
  </si>
  <si>
    <t>Cosmic Ray Telescope to analyze the charge and energy spectrum of primary cosmic radiation</t>
  </si>
  <si>
    <t>Search for acceleration mechanisms which act upon cosmic rays and solar particles</t>
  </si>
  <si>
    <t>Study electron populations of the outer radiation zone of Earth</t>
  </si>
  <si>
    <t>Study the injection, trapping and loss mechanisms in Earth's radiation belts</t>
  </si>
  <si>
    <t>ELF frequencies in Earth's radiation belts</t>
  </si>
  <si>
    <t>Very accurate magnetic field measurements</t>
  </si>
  <si>
    <t>Measure concnetrations and energy of low energy charged particles</t>
  </si>
  <si>
    <t>Measure radio irregularities of electrons in ionosphere and exosphere</t>
  </si>
  <si>
    <t>Measure positive-ion populations</t>
  </si>
  <si>
    <t>Bennet RF Mass Spectrometer</t>
  </si>
  <si>
    <t>Measure velocity and mass distributions of interplanetary dust</t>
  </si>
  <si>
    <t>Study noise propagation in Earth's magnetosphere</t>
  </si>
  <si>
    <t>Measure radio spectrum of solar radio-noise bursts</t>
  </si>
  <si>
    <t>Study scattering of Lyman-Alpha UV light</t>
  </si>
  <si>
    <t>Determine the location of the Gegenschein light</t>
  </si>
  <si>
    <t>Fluxgate Magentometer</t>
  </si>
  <si>
    <t>Mariner 4</t>
  </si>
  <si>
    <t>Cosmic Ray Telescope</t>
  </si>
  <si>
    <t>Measurement of trapped radiation near Mars and interplanetary space</t>
  </si>
  <si>
    <t>Cosmic Dust Detector</t>
  </si>
  <si>
    <t>Measurement of dust particle momentum and mass distribution in the Earth-Moon, Mars-Deimos-Phobos and Interplanetary region</t>
  </si>
  <si>
    <t>Trapped Radiation Detector</t>
  </si>
  <si>
    <t xml:space="preserve">Determine the energies and identity of trapped particles in the vicinity of Mars and to monitor solar cosmic ray and energetic electrons in interplanetary space. </t>
  </si>
  <si>
    <t xml:space="preserve">Measure the average omnidirectional flux of corpuscular radiation and the average specific flux between Earth and Mars and in the vicinity of Mars. </t>
  </si>
  <si>
    <t>Plasma Probe</t>
  </si>
  <si>
    <t>Measure the spectral distribution and flux density of the positively charged component of solar plasma. The instrument was designed to measure protons in 32 energy bands within a range of 30 to 10,000 ev.</t>
  </si>
  <si>
    <t>Helium Magnetometer</t>
  </si>
  <si>
    <t xml:space="preserve">Make vector field measurements of the magnetic field in the vicinity of Earth, interplanetary space, and in the vicinity of Mars. </t>
  </si>
  <si>
    <t>Television</t>
  </si>
  <si>
    <t xml:space="preserve">Make preliminary topographic reconnaissance of portions of the surface of Mars and to obtain data on Mars surface reflectivities for the design of future systems. </t>
  </si>
  <si>
    <t>Radio Wave Occultation</t>
  </si>
  <si>
    <t xml:space="preserve">Obtain improved estimates of the surface pressure, scale height, and other characteristics of the Martian atmosphere. </t>
  </si>
  <si>
    <t>Electron-Proton Angular Distrubtion and Energy Spectra</t>
  </si>
  <si>
    <t>Electron-Proton Directional-Omnidirectional Detectors</t>
  </si>
  <si>
    <t>Magnetic Field Meaurements</t>
  </si>
  <si>
    <t>The experiment consists of a series of solid-state detectors for measuring spatial and angular distribution and energy spectra of electrons and protons.</t>
  </si>
  <si>
    <t>Scintillator detectors, which were originally developed for the Relay communications satellite, measure the intensity and angular distribution of protons and electrons.</t>
  </si>
  <si>
    <t>A flux gate magnetometer measures the magnitude and direction of the earth's magnetic field from 6000 miles above the earth out to Explorer's apogee.</t>
  </si>
  <si>
    <t>Scintillator detector measures low-energy particles by type and energy as a function of direction, time, and position. Flown on Explorers IZ, 14, and 15</t>
  </si>
  <si>
    <t>Explorer 26</t>
  </si>
  <si>
    <t>Scintillator detector measures low-energy particles by type and energy as a function of direction, time, and position. Flown on Explorers 12, 14, and 15</t>
  </si>
  <si>
    <t>OSO 2</t>
  </si>
  <si>
    <t>Zodiacal Light Photometer</t>
  </si>
  <si>
    <t>Solar X-Ray Gamma Ray Detector</t>
  </si>
  <si>
    <t>Low Energy Gamma Ray Detector</t>
  </si>
  <si>
    <t>High Energy Cosmic Rays</t>
  </si>
  <si>
    <t>UV Spectrometer</t>
  </si>
  <si>
    <t>UV Telescope and White Light Cornograph</t>
  </si>
  <si>
    <t>Ion Chamber</t>
  </si>
  <si>
    <t>Ranger 1</t>
  </si>
  <si>
    <t>Group</t>
  </si>
  <si>
    <t>Ionizing Radiation</t>
  </si>
  <si>
    <t>Geiger-Mueller Counter</t>
  </si>
  <si>
    <t>Geiger-Mueller Tube</t>
  </si>
  <si>
    <t>Geiger Tube (Detector C)</t>
  </si>
  <si>
    <t>Shielded Geiger Tube (Detector D)</t>
  </si>
  <si>
    <t>Cosmic Ray Detector</t>
  </si>
  <si>
    <t>Explorer S-46</t>
  </si>
  <si>
    <t>Geiger-Mueller Counter Cosmic Ray Telescope</t>
  </si>
  <si>
    <t>IMP 1</t>
  </si>
  <si>
    <t>Geiger-Mueller Counter "E"</t>
  </si>
  <si>
    <t>Medium Energy Range Particle Detectors</t>
  </si>
  <si>
    <t>Ranger 2</t>
  </si>
  <si>
    <t>Trapped Particled Radiation Instrument</t>
  </si>
  <si>
    <t>Electron Detector</t>
  </si>
  <si>
    <t>Hitch-Hiker</t>
  </si>
  <si>
    <t>Proton Detector</t>
  </si>
  <si>
    <t>Neutron Detector</t>
  </si>
  <si>
    <t>Vela</t>
  </si>
  <si>
    <t>Emulsion Packs</t>
  </si>
  <si>
    <t>Discoverer</t>
  </si>
  <si>
    <t>Cosmic Ray Photon Detector</t>
  </si>
  <si>
    <t>Solar Corpuscular Radiation Detector</t>
  </si>
  <si>
    <t>Plastic Scintillator (Detector A)</t>
  </si>
  <si>
    <t>CsI Scintinallator (Detector B)</t>
  </si>
  <si>
    <t>Scintillation Counter</t>
  </si>
  <si>
    <t>Gamma Ray Detector</t>
  </si>
  <si>
    <t>D.C. Scintillator</t>
  </si>
  <si>
    <t>Gamma Ray Spectrometer</t>
  </si>
  <si>
    <t>Ranger 3</t>
  </si>
  <si>
    <t>Cerenkov Detector</t>
  </si>
  <si>
    <t>Electron Spectrometer</t>
  </si>
  <si>
    <t>Discoverer 29</t>
  </si>
  <si>
    <t>CdS Broom Proton (Detector A)</t>
  </si>
  <si>
    <t>CdS Low Energy Particle (Detector B)</t>
  </si>
  <si>
    <t>Cadmium Sulfide Detectors</t>
  </si>
  <si>
    <t>Silicon P-N Junction Detectors</t>
  </si>
  <si>
    <t>Telstar 1</t>
  </si>
  <si>
    <t>PAGE 562</t>
  </si>
  <si>
    <t>Ionization Radiation Detector Arrays</t>
  </si>
  <si>
    <t>Electron Multiplier</t>
  </si>
  <si>
    <t>Electron-Proton Detector/Geiger-Mueller Counter</t>
  </si>
  <si>
    <t>Radiation Monitor</t>
  </si>
  <si>
    <t>Relay 1</t>
  </si>
  <si>
    <t>GSFC Cosmic Ray Instrumentation</t>
  </si>
  <si>
    <t>Cosmic Ray Telescope (Helium)</t>
  </si>
  <si>
    <t>IMP 2</t>
  </si>
  <si>
    <t>Energetic Particle Detector</t>
  </si>
  <si>
    <t>Alouette</t>
  </si>
  <si>
    <t>Gamma Ray Detector (High Energy)</t>
  </si>
  <si>
    <t>Cosmic Ray Probe</t>
  </si>
  <si>
    <t>Ariel 1</t>
  </si>
  <si>
    <t>Triple-Coincidence Telescopes</t>
  </si>
  <si>
    <t>Cosmic Ray Instrumentation</t>
  </si>
  <si>
    <t>GM Tube and Electron Spectrometer</t>
  </si>
  <si>
    <t>Gamma Ray Telescope (S-15)</t>
  </si>
  <si>
    <t>Magnetic Electron Spectrometer "C"</t>
  </si>
  <si>
    <t>High Energy Particle Counter "D"</t>
  </si>
  <si>
    <t>Ionization Chamber - Geiger Counter</t>
  </si>
  <si>
    <t>Magnetic Differential Electron Spectrometer</t>
  </si>
  <si>
    <t>Integral Magnetic Electron Spectrometer</t>
  </si>
  <si>
    <t>Gamma Ray / Charged Particle Detector</t>
  </si>
  <si>
    <t>Background Radiation Detector (M-5)</t>
  </si>
  <si>
    <t>Low Energy Gamma Ray</t>
  </si>
  <si>
    <t>High Energy Gamma Ray</t>
  </si>
  <si>
    <t>Double Gamma Ray Spectrometer</t>
  </si>
  <si>
    <t>Scintillation Counter - Telescope</t>
  </si>
  <si>
    <t>Charged Particle Telescope</t>
  </si>
  <si>
    <t>Plasma</t>
  </si>
  <si>
    <t>Electron Temperature Probe (Langmuir Probe)</t>
  </si>
  <si>
    <t>Electron Density Probe</t>
  </si>
  <si>
    <t>Faraday Cup</t>
  </si>
  <si>
    <t>Total Current Monitor</t>
  </si>
  <si>
    <t>Explorer 17</t>
  </si>
  <si>
    <t>Explorer 22</t>
  </si>
  <si>
    <t>Cylindrical Electrostatic Probe (Electron Temperature Probe)</t>
  </si>
  <si>
    <t>Retarding Potential Analyzer / Planar Langmuir Probe</t>
  </si>
  <si>
    <t>Explorer 18</t>
  </si>
  <si>
    <t>Ion Trap (Spherical)</t>
  </si>
  <si>
    <t>Ion Mass Spectrometer</t>
  </si>
  <si>
    <t>Ion Current Monitor</t>
  </si>
  <si>
    <t>Retarding Potential Probe</t>
  </si>
  <si>
    <t>Electron Current Monitor</t>
  </si>
  <si>
    <t>Three-Element Electron Temperature Probe</t>
  </si>
  <si>
    <t>Two-Element Electron Temperature Probe</t>
  </si>
  <si>
    <t>Electrostatic Analyzer</t>
  </si>
  <si>
    <t>Proton Analyzer</t>
  </si>
  <si>
    <t>Electron-Proton Spectrometer</t>
  </si>
  <si>
    <t>Radio-Frequency Impedance Probe</t>
  </si>
  <si>
    <t>Photon Measurements</t>
  </si>
  <si>
    <t>Optical Scanner</t>
  </si>
  <si>
    <t>Radiation Balance Experiment</t>
  </si>
  <si>
    <t>Vanguard SLV-6</t>
  </si>
  <si>
    <t>Tow-Channel Low-Resolution Non-scanning Radiometer</t>
  </si>
  <si>
    <t>Tiros 2</t>
  </si>
  <si>
    <t>Five-Channel Medium-Resolution Scanning Radiometer</t>
  </si>
  <si>
    <t>High Resolution Infrared Radiometer</t>
  </si>
  <si>
    <t>Nimbus 1</t>
  </si>
  <si>
    <t>White Lite Chronograph and Ultraviolet Telescope</t>
  </si>
  <si>
    <t>Lyman-Alpha Ion Chamber</t>
  </si>
  <si>
    <t>Vanguard SLV-1</t>
  </si>
  <si>
    <t>Shortwave UV Detector</t>
  </si>
  <si>
    <t>Hydrogen Lyman-Alpha Ionization Chamber</t>
  </si>
  <si>
    <t>SR-1</t>
  </si>
  <si>
    <t>SR-4</t>
  </si>
  <si>
    <t>Solar Ultraviolet Radiation Detector</t>
  </si>
  <si>
    <t>Hydrogen Lyman-Alpha Detector</t>
  </si>
  <si>
    <t>Lyman-Alpha Detectors</t>
  </si>
  <si>
    <t>Lyman-Alpha Scanning Telescope</t>
  </si>
  <si>
    <t>Ozone Detector</t>
  </si>
  <si>
    <t>Aurora/Airglow Photometer</t>
  </si>
  <si>
    <t>Airglow Photometer</t>
  </si>
  <si>
    <t>DOD</t>
  </si>
  <si>
    <t>Ultraviolet Radiometer Earth Albedo and Solar Photometer</t>
  </si>
  <si>
    <t>Ultraviolet Spectrometer (Harvard)</t>
  </si>
  <si>
    <t>Ultraviolet Spectrometer (GSFC)</t>
  </si>
  <si>
    <t>Solar Radiation Detector</t>
  </si>
  <si>
    <t>Gegenshein Photometer</t>
  </si>
  <si>
    <t>Tiros Television Cameras</t>
  </si>
  <si>
    <t>Tiros 1</t>
  </si>
  <si>
    <t>Automatic Picture Transmission Camera Subsystem (APT)</t>
  </si>
  <si>
    <t>Tiros 8</t>
  </si>
  <si>
    <t>Advanced Vidicon Camera System (AVCS)</t>
  </si>
  <si>
    <t>Telescope Vidicon Television Camera</t>
  </si>
  <si>
    <t>Television Subsystem</t>
  </si>
  <si>
    <t>Television Camera</t>
  </si>
  <si>
    <t>Solar X-Ray Ionization Chamber</t>
  </si>
  <si>
    <t>X-Ray Detector</t>
  </si>
  <si>
    <t>X-Ray Sensor</t>
  </si>
  <si>
    <t>SR-3</t>
  </si>
  <si>
    <t>Vela 1</t>
  </si>
  <si>
    <t>Vela 3</t>
  </si>
  <si>
    <t>Vela 2</t>
  </si>
  <si>
    <t>Vela 4</t>
  </si>
  <si>
    <t>Soft X-Ray Spectrometer</t>
  </si>
  <si>
    <t>X-Ray Counter</t>
  </si>
  <si>
    <t>X-Ray Scintillation Counter</t>
  </si>
  <si>
    <t>Solar X-Ray Spectrophotometer</t>
  </si>
  <si>
    <t>Cold-Cathode Ionization Gauge</t>
  </si>
  <si>
    <t>Aeronomy Measurements</t>
  </si>
  <si>
    <t>Hot-Cathode Ion Gauge</t>
  </si>
  <si>
    <t>Neutral Mass Spectrometer</t>
  </si>
  <si>
    <t>Search-Coil Magnetometer</t>
  </si>
  <si>
    <t>Magnetic Field</t>
  </si>
  <si>
    <t>Proton Precession Magnetometer</t>
  </si>
  <si>
    <t>Triaxial Helium Magnetometer</t>
  </si>
  <si>
    <t>Electric Field</t>
  </si>
  <si>
    <t>Electrostatic Flux Meter</t>
  </si>
  <si>
    <t>Electric Field Meter</t>
  </si>
  <si>
    <t>Micrometeoroid Detectors</t>
  </si>
  <si>
    <t>Photomultiplier Micrometeorite Detector</t>
  </si>
  <si>
    <t>Gauge Micrometeorite Detector</t>
  </si>
  <si>
    <t>Explorer 2</t>
  </si>
  <si>
    <t>Micrometeorite Penetration Experiment</t>
  </si>
  <si>
    <t>Micrometeroite Detector</t>
  </si>
  <si>
    <t>Microphone Micrometeroite Detector</t>
  </si>
  <si>
    <t>Micrometeroite Sensor</t>
  </si>
  <si>
    <t>Micrometeroid Impact Microphone</t>
  </si>
  <si>
    <t>Micrometeorite Guage</t>
  </si>
  <si>
    <t>Dust Particle Detector</t>
  </si>
  <si>
    <t>Cosmic-Dust Detectors</t>
  </si>
  <si>
    <t>Composite Micrometeoroid Satellite</t>
  </si>
  <si>
    <t>Explorer 13</t>
  </si>
  <si>
    <t>Explorer 16</t>
  </si>
  <si>
    <t>Pegasus 1</t>
  </si>
  <si>
    <t>Miscellaneous</t>
  </si>
  <si>
    <t>Swept-Frequency Topside Sounder</t>
  </si>
  <si>
    <t>Alouette 1</t>
  </si>
  <si>
    <t>Fixed Frequency Ionospheric Topside Sounder</t>
  </si>
  <si>
    <t>Explorer 20</t>
  </si>
  <si>
    <t>Animal Response &amp; Support System</t>
  </si>
  <si>
    <t>Solar Cell Damage</t>
  </si>
  <si>
    <t>Silicon Solar Cells</t>
  </si>
  <si>
    <t>Radar Altimeter</t>
  </si>
  <si>
    <t>Suspended Magnetic Seismometer</t>
  </si>
  <si>
    <t>Diode Damage</t>
  </si>
  <si>
    <t>VLF Detector</t>
  </si>
  <si>
    <t>Cosmic Noise Receiver</t>
  </si>
  <si>
    <t>Pioneer 0</t>
  </si>
  <si>
    <t>TV</t>
  </si>
  <si>
    <t>Micrometeorite</t>
  </si>
  <si>
    <t>Magentometer</t>
  </si>
  <si>
    <t>Total ionization radiation in space</t>
  </si>
  <si>
    <t>Pe</t>
  </si>
  <si>
    <t>Ap</t>
  </si>
  <si>
    <t>Time (hrs)</t>
  </si>
  <si>
    <t>Heavy Nuclei Chamber (Ionization Chamber)</t>
  </si>
  <si>
    <t>Determine the flux of heavy primary cosmic rays</t>
  </si>
  <si>
    <t>EC (mw)</t>
  </si>
  <si>
    <t>Cosmic Ray Integrating Ionization Chamber (Neher Type)</t>
  </si>
  <si>
    <t>Primary cosmic radiation and other ionizing radiations in the space beyond the Earth's atmosphere</t>
  </si>
  <si>
    <t>4-10</t>
  </si>
  <si>
    <t>To measure the omnidirectional intensity of cosmic rays as a function of latitude, longitude and time</t>
  </si>
  <si>
    <t>To obtain cosmic ray distribution over the Earth and to consequently stude the magnetic field fo Earth. To measure the time variation of cosmic ray processes and to correlate these with processes on the Earth and in the cosmos.</t>
  </si>
  <si>
    <t>Weight (kg))</t>
  </si>
  <si>
    <t>Total 18.59</t>
  </si>
  <si>
    <t>Measure the total omnidirectional cosmic ray intensity of primary cosmic radiation on comprehensive geographical and temporal basis.</t>
  </si>
  <si>
    <t>Measurement of known types of ionizing radiation in trapped region; determination of nature of trapped particles.</t>
  </si>
  <si>
    <t>Trapped radiation and X-Rays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</si>
</sst>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xf numFmtId="14" fontId="0" fillId="0" borderId="0" xfId="0" applyNumberFormat="1"/>
    <xf numFmtId="164" fontId="0" fillId="0" borderId="0" xfId="0" applyNumberFormat="1"/>
    <xf numFmtId="1" fontId="0" fillId="0" borderId="0" xfId="0" applyNumberFormat="1"/>
    <xf numFmtId="0" fontId="1" fillId="0" borderId="0" xfId="1"/>
    <xf numFmtId="0" fontId="0" fillId="0" borderId="0" xfId="0" quotePrefix="1"/>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20paplaczyk/AppData/Roaming/Microsoft/AddIns/PersonalUDF.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MI2KM"/>
      <definedName name="ToMill"/>
    </definedNames>
    <sheetDataSet>
      <sheetData sheetId="0"/>
    </sheetDataSet>
  </externalBook>
</externalLink>
</file>

<file path=xl/tables/table1.xml><?xml version="1.0" encoding="utf-8"?>
<table xmlns="http://schemas.openxmlformats.org/spreadsheetml/2006/main" id="1" name="Table1" displayName="Table1" ref="A1:J269" totalsRowShown="0">
  <autoFilter ref="A1:J269"/>
  <sortState ref="A2:F275">
    <sortCondition ref="A1:A275"/>
  </sortState>
  <tableColumns count="10">
    <tableColumn id="1" name="Equipment"/>
    <tableColumn id="2" name="Spacecraft"/>
    <tableColumn id="3" name="Year"/>
    <tableColumn id="4" name="Weight (kg))"/>
    <tableColumn id="5" name="Group"/>
    <tableColumn id="6" name="Notes"/>
    <tableColumn id="7" name="Pe"/>
    <tableColumn id="8" name="Ap"/>
    <tableColumn id="9" name="Time (hrs)"/>
    <tableColumn id="10" name="EC (mw)"/>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hyperlink" Target="https://ntrs.nasa.gov/archive/nasa/casi.ntrs.nasa.gov/19660023785.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A5" sqref="A5"/>
    </sheetView>
  </sheetViews>
  <sheetFormatPr defaultRowHeight="15" x14ac:dyDescent="0.25"/>
  <cols>
    <col min="1" max="1" width="10.140625" bestFit="1" customWidth="1"/>
    <col min="2" max="2" width="18.7109375" bestFit="1" customWidth="1"/>
    <col min="3" max="3" width="137.5703125" bestFit="1" customWidth="1"/>
    <col min="4" max="4" width="9.42578125" bestFit="1" customWidth="1"/>
    <col min="5" max="5" width="51.7109375" bestFit="1" customWidth="1"/>
  </cols>
  <sheetData>
    <row r="1" spans="1:6" x14ac:dyDescent="0.25">
      <c r="A1" t="s">
        <v>3</v>
      </c>
      <c r="B1" t="s">
        <v>4</v>
      </c>
      <c r="C1" t="s">
        <v>5</v>
      </c>
      <c r="D1" t="s">
        <v>6</v>
      </c>
      <c r="E1" t="s">
        <v>7</v>
      </c>
      <c r="F1" t="s">
        <v>50</v>
      </c>
    </row>
    <row r="2" spans="1:6" x14ac:dyDescent="0.25">
      <c r="A2" t="s">
        <v>0</v>
      </c>
      <c r="B2" t="s">
        <v>1</v>
      </c>
      <c r="C2" t="s">
        <v>2</v>
      </c>
      <c r="D2">
        <v>2004</v>
      </c>
      <c r="E2" t="s">
        <v>53</v>
      </c>
    </row>
    <row r="3" spans="1:6" x14ac:dyDescent="0.25">
      <c r="A3" t="s">
        <v>8</v>
      </c>
      <c r="B3" t="s">
        <v>9</v>
      </c>
      <c r="C3" t="s">
        <v>49</v>
      </c>
      <c r="D3">
        <v>1999</v>
      </c>
      <c r="E3" t="s">
        <v>52</v>
      </c>
      <c r="F3" t="s">
        <v>51</v>
      </c>
    </row>
    <row r="4" spans="1:6" x14ac:dyDescent="0.25">
      <c r="A4" t="s">
        <v>54</v>
      </c>
      <c r="B4" t="s">
        <v>1</v>
      </c>
      <c r="C4" t="s">
        <v>55</v>
      </c>
      <c r="D4">
        <v>1998</v>
      </c>
      <c r="E4"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
  <sheetViews>
    <sheetView workbookViewId="0">
      <selection activeCell="D9" sqref="D9"/>
    </sheetView>
  </sheetViews>
  <sheetFormatPr defaultRowHeight="15" x14ac:dyDescent="0.25"/>
  <cols>
    <col min="1" max="1" width="27.42578125" bestFit="1" customWidth="1"/>
    <col min="2" max="2" width="20" bestFit="1" customWidth="1"/>
    <col min="3" max="4" width="8.5703125" bestFit="1" customWidth="1"/>
    <col min="5" max="5" width="22.140625" bestFit="1" customWidth="1"/>
    <col min="6" max="6" width="8.5703125" bestFit="1" customWidth="1"/>
    <col min="7" max="7" width="18.7109375" bestFit="1" customWidth="1"/>
  </cols>
  <sheetData>
    <row r="1" spans="1:7" x14ac:dyDescent="0.25">
      <c r="A1" s="7" t="s">
        <v>10</v>
      </c>
      <c r="B1" s="7"/>
      <c r="C1" s="7"/>
      <c r="D1" s="7"/>
      <c r="E1" s="7"/>
      <c r="F1" s="7"/>
      <c r="G1" s="7"/>
    </row>
    <row r="2" spans="1:7" x14ac:dyDescent="0.25">
      <c r="A2" t="s">
        <v>11</v>
      </c>
      <c r="B2" t="s">
        <v>12</v>
      </c>
      <c r="C2" t="s">
        <v>13</v>
      </c>
      <c r="D2" t="s">
        <v>14</v>
      </c>
      <c r="E2" t="s">
        <v>15</v>
      </c>
      <c r="F2" t="s">
        <v>16</v>
      </c>
      <c r="G2" t="s">
        <v>17</v>
      </c>
    </row>
    <row r="3" spans="1:7" x14ac:dyDescent="0.25">
      <c r="A3" t="s">
        <v>18</v>
      </c>
      <c r="B3" t="s">
        <v>19</v>
      </c>
      <c r="C3" t="s">
        <v>20</v>
      </c>
      <c r="D3" t="s">
        <v>21</v>
      </c>
      <c r="E3" t="s">
        <v>43</v>
      </c>
      <c r="F3" t="s">
        <v>22</v>
      </c>
      <c r="G3" t="s">
        <v>44</v>
      </c>
    </row>
    <row r="4" spans="1:7" x14ac:dyDescent="0.25">
      <c r="A4" t="s">
        <v>23</v>
      </c>
      <c r="B4" t="s">
        <v>46</v>
      </c>
      <c r="C4" t="s">
        <v>25</v>
      </c>
      <c r="D4" t="s">
        <v>24</v>
      </c>
      <c r="E4" t="s">
        <v>45</v>
      </c>
      <c r="F4" t="s">
        <v>24</v>
      </c>
      <c r="G4" t="s">
        <v>26</v>
      </c>
    </row>
    <row r="5" spans="1:7" x14ac:dyDescent="0.25">
      <c r="A5" t="s">
        <v>27</v>
      </c>
      <c r="B5">
        <v>350</v>
      </c>
      <c r="C5">
        <v>80</v>
      </c>
      <c r="D5">
        <v>1140</v>
      </c>
      <c r="E5" t="s">
        <v>47</v>
      </c>
      <c r="F5">
        <v>1100</v>
      </c>
      <c r="G5" t="s">
        <v>48</v>
      </c>
    </row>
    <row r="6" spans="1:7" x14ac:dyDescent="0.25">
      <c r="A6" t="s">
        <v>28</v>
      </c>
      <c r="B6" t="s">
        <v>30</v>
      </c>
      <c r="C6" t="s">
        <v>31</v>
      </c>
      <c r="D6" t="s">
        <v>32</v>
      </c>
      <c r="E6" t="s">
        <v>33</v>
      </c>
      <c r="F6" t="s">
        <v>34</v>
      </c>
      <c r="G6" t="s">
        <v>35</v>
      </c>
    </row>
    <row r="7" spans="1:7" x14ac:dyDescent="0.25">
      <c r="A7" t="s">
        <v>29</v>
      </c>
    </row>
    <row r="8" spans="1:7" x14ac:dyDescent="0.25">
      <c r="A8" t="s">
        <v>36</v>
      </c>
      <c r="B8">
        <v>3.45</v>
      </c>
      <c r="C8">
        <v>1.0900000000000001</v>
      </c>
      <c r="D8">
        <v>2.4</v>
      </c>
      <c r="E8">
        <v>3.8</v>
      </c>
      <c r="F8">
        <v>10</v>
      </c>
      <c r="G8">
        <v>7.5</v>
      </c>
    </row>
    <row r="9" spans="1:7" x14ac:dyDescent="0.25">
      <c r="A9" t="s">
        <v>37</v>
      </c>
      <c r="B9" t="s">
        <v>38</v>
      </c>
      <c r="C9" t="s">
        <v>39</v>
      </c>
      <c r="D9" t="s">
        <v>39</v>
      </c>
      <c r="E9" t="s">
        <v>39</v>
      </c>
      <c r="F9" t="s">
        <v>40</v>
      </c>
      <c r="G9" t="s">
        <v>39</v>
      </c>
    </row>
    <row r="10" spans="1:7" x14ac:dyDescent="0.25">
      <c r="A10" t="s">
        <v>41</v>
      </c>
      <c r="B10">
        <v>5</v>
      </c>
      <c r="C10">
        <v>2</v>
      </c>
      <c r="D10">
        <v>2</v>
      </c>
      <c r="E10">
        <v>12</v>
      </c>
      <c r="F10">
        <v>10</v>
      </c>
      <c r="G10">
        <v>10</v>
      </c>
    </row>
    <row r="11" spans="1:7" x14ac:dyDescent="0.25">
      <c r="A11" t="s">
        <v>42</v>
      </c>
      <c r="B11">
        <v>4</v>
      </c>
      <c r="C11">
        <v>18</v>
      </c>
      <c r="D11">
        <v>4</v>
      </c>
      <c r="E11">
        <v>75</v>
      </c>
      <c r="F11">
        <v>0.5</v>
      </c>
      <c r="G11">
        <v>20</v>
      </c>
    </row>
  </sheetData>
  <mergeCells count="1">
    <mergeCell ref="A1: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D6"/>
  <sheetViews>
    <sheetView workbookViewId="0">
      <selection activeCell="C4" sqref="C4"/>
    </sheetView>
  </sheetViews>
  <sheetFormatPr defaultRowHeight="15" x14ac:dyDescent="0.25"/>
  <sheetData>
    <row r="2" spans="1:4" x14ac:dyDescent="0.25">
      <c r="A2" t="s">
        <v>58</v>
      </c>
      <c r="B2" t="s">
        <v>57</v>
      </c>
      <c r="C2">
        <v>1958</v>
      </c>
      <c r="D2" t="s">
        <v>67</v>
      </c>
    </row>
    <row r="3" spans="1:4" x14ac:dyDescent="0.25">
      <c r="A3" t="s">
        <v>59</v>
      </c>
      <c r="B3" t="s">
        <v>57</v>
      </c>
      <c r="C3">
        <v>1958</v>
      </c>
    </row>
    <row r="4" spans="1:4" x14ac:dyDescent="0.25">
      <c r="A4" t="s">
        <v>60</v>
      </c>
      <c r="B4" t="s">
        <v>61</v>
      </c>
      <c r="C4">
        <v>1958</v>
      </c>
    </row>
    <row r="5" spans="1:4" x14ac:dyDescent="0.25">
      <c r="A5" t="s">
        <v>62</v>
      </c>
      <c r="B5" t="s">
        <v>63</v>
      </c>
      <c r="C5">
        <v>1958</v>
      </c>
    </row>
    <row r="6" spans="1:4" x14ac:dyDescent="0.25">
      <c r="A6" t="s">
        <v>64</v>
      </c>
      <c r="B6" t="s">
        <v>65</v>
      </c>
      <c r="C6">
        <v>1958</v>
      </c>
      <c r="D6"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heetViews>
  <sheetFormatPr defaultColWidth="9.28515625" defaultRowHeight="15" x14ac:dyDescent="0.25"/>
  <cols>
    <col min="1" max="1" width="9.7109375" bestFit="1" customWidth="1"/>
    <col min="2" max="2" width="118.5703125" bestFit="1" customWidth="1"/>
    <col min="3" max="3" width="71.140625" bestFit="1" customWidth="1"/>
  </cols>
  <sheetData>
    <row r="1" spans="1:3" x14ac:dyDescent="0.25">
      <c r="A1" t="s">
        <v>70</v>
      </c>
      <c r="B1" t="s">
        <v>71</v>
      </c>
      <c r="C1" t="s">
        <v>72</v>
      </c>
    </row>
    <row r="2" spans="1:3" x14ac:dyDescent="0.25">
      <c r="A2" t="s">
        <v>64</v>
      </c>
      <c r="B2" t="s">
        <v>68</v>
      </c>
      <c r="C2" t="s">
        <v>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4"/>
  <sheetViews>
    <sheetView workbookViewId="0">
      <selection activeCell="A15" sqref="A15"/>
    </sheetView>
  </sheetViews>
  <sheetFormatPr defaultRowHeight="15" x14ac:dyDescent="0.25"/>
  <sheetData>
    <row r="1" spans="1:3" x14ac:dyDescent="0.25">
      <c r="A1" s="1" t="s">
        <v>73</v>
      </c>
    </row>
    <row r="2" spans="1:3" x14ac:dyDescent="0.25">
      <c r="A2" s="1" t="s">
        <v>74</v>
      </c>
    </row>
    <row r="4" spans="1:3" x14ac:dyDescent="0.25">
      <c r="A4" t="s">
        <v>77</v>
      </c>
      <c r="B4" t="s">
        <v>76</v>
      </c>
      <c r="C4" t="s">
        <v>79</v>
      </c>
    </row>
    <row r="5" spans="1:3" x14ac:dyDescent="0.25">
      <c r="A5" t="s">
        <v>78</v>
      </c>
      <c r="B5" t="s">
        <v>75</v>
      </c>
      <c r="C5" t="s">
        <v>80</v>
      </c>
    </row>
    <row r="6" spans="1:3" x14ac:dyDescent="0.25">
      <c r="A6" t="s">
        <v>78</v>
      </c>
      <c r="B6" t="s">
        <v>81</v>
      </c>
      <c r="C6" t="s">
        <v>82</v>
      </c>
    </row>
    <row r="7" spans="1:3" x14ac:dyDescent="0.25">
      <c r="A7" t="s">
        <v>78</v>
      </c>
      <c r="B7" t="s">
        <v>83</v>
      </c>
      <c r="C7" t="s">
        <v>84</v>
      </c>
    </row>
    <row r="8" spans="1:3" x14ac:dyDescent="0.25">
      <c r="A8" t="s">
        <v>78</v>
      </c>
      <c r="B8" t="s">
        <v>85</v>
      </c>
      <c r="C8" t="s">
        <v>86</v>
      </c>
    </row>
    <row r="9" spans="1:3" x14ac:dyDescent="0.25">
      <c r="A9" t="s">
        <v>78</v>
      </c>
      <c r="B9" t="s">
        <v>87</v>
      </c>
      <c r="C9" t="s">
        <v>88</v>
      </c>
    </row>
    <row r="10" spans="1:3" x14ac:dyDescent="0.25">
      <c r="A10" t="s">
        <v>78</v>
      </c>
      <c r="B10" t="s">
        <v>89</v>
      </c>
      <c r="C10" t="s">
        <v>90</v>
      </c>
    </row>
    <row r="11" spans="1:3" x14ac:dyDescent="0.25">
      <c r="A11" t="s">
        <v>78</v>
      </c>
      <c r="B11" t="s">
        <v>91</v>
      </c>
      <c r="C11">
        <v>38</v>
      </c>
    </row>
    <row r="12" spans="1:3" x14ac:dyDescent="0.25">
      <c r="A12" t="s">
        <v>78</v>
      </c>
      <c r="B12" t="s">
        <v>64</v>
      </c>
      <c r="C12" t="s">
        <v>92</v>
      </c>
    </row>
    <row r="13" spans="1:3" x14ac:dyDescent="0.25">
      <c r="A13" t="s">
        <v>78</v>
      </c>
      <c r="B13" t="s">
        <v>93</v>
      </c>
      <c r="C13">
        <v>11</v>
      </c>
    </row>
    <row r="14" spans="1:3" x14ac:dyDescent="0.25">
      <c r="A14" t="s">
        <v>78</v>
      </c>
      <c r="B14" t="s">
        <v>94</v>
      </c>
      <c r="C14" t="s">
        <v>95</v>
      </c>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57"/>
  <sheetViews>
    <sheetView workbookViewId="0"/>
  </sheetViews>
  <sheetFormatPr defaultRowHeight="15" x14ac:dyDescent="0.25"/>
  <cols>
    <col min="1" max="1" width="11.5703125" customWidth="1"/>
    <col min="2" max="2" width="8.85546875" customWidth="1"/>
    <col min="3" max="3" width="10.7109375" bestFit="1" customWidth="1"/>
    <col min="4" max="4" width="6.28515625" bestFit="1" customWidth="1"/>
    <col min="5" max="5" width="6.5703125" bestFit="1" customWidth="1"/>
    <col min="6" max="6" width="4.5703125" style="3" bestFit="1" customWidth="1"/>
    <col min="7" max="7" width="9.5703125" style="3" bestFit="1" customWidth="1"/>
    <col min="8" max="8" width="9.5703125" customWidth="1"/>
  </cols>
  <sheetData>
    <row r="1" spans="1:10" x14ac:dyDescent="0.25">
      <c r="A1" s="5" t="s">
        <v>126</v>
      </c>
      <c r="B1" t="s">
        <v>399</v>
      </c>
    </row>
    <row r="2" spans="1:10" x14ac:dyDescent="0.25">
      <c r="A2" t="s">
        <v>96</v>
      </c>
      <c r="B2" t="s">
        <v>103</v>
      </c>
      <c r="C2" t="s">
        <v>97</v>
      </c>
      <c r="D2" t="s">
        <v>107</v>
      </c>
      <c r="E2" t="s">
        <v>108</v>
      </c>
      <c r="F2" s="3" t="s">
        <v>109</v>
      </c>
      <c r="G2" s="3" t="s">
        <v>98</v>
      </c>
      <c r="H2" t="s">
        <v>110</v>
      </c>
      <c r="I2" t="s">
        <v>99</v>
      </c>
      <c r="J2" t="s">
        <v>50</v>
      </c>
    </row>
    <row r="3" spans="1:10" x14ac:dyDescent="0.25">
      <c r="A3" t="s">
        <v>100</v>
      </c>
      <c r="B3" t="s">
        <v>104</v>
      </c>
      <c r="C3" s="2">
        <v>21097</v>
      </c>
      <c r="D3" s="4">
        <v>142</v>
      </c>
      <c r="E3" s="4">
        <v>588</v>
      </c>
      <c r="F3" s="3">
        <v>65</v>
      </c>
      <c r="G3" s="3">
        <v>184</v>
      </c>
    </row>
    <row r="4" spans="1:10" x14ac:dyDescent="0.25">
      <c r="A4" t="s">
        <v>101</v>
      </c>
      <c r="B4" t="s">
        <v>104</v>
      </c>
      <c r="C4" s="2">
        <v>21127</v>
      </c>
      <c r="D4" s="4">
        <v>140</v>
      </c>
      <c r="E4" s="4">
        <v>1038</v>
      </c>
      <c r="F4" s="3">
        <v>65</v>
      </c>
      <c r="G4" s="3">
        <v>1120</v>
      </c>
      <c r="I4" t="s">
        <v>102</v>
      </c>
    </row>
    <row r="5" spans="1:10" x14ac:dyDescent="0.25">
      <c r="A5" t="s">
        <v>57</v>
      </c>
      <c r="B5" t="s">
        <v>105</v>
      </c>
      <c r="C5" s="2">
        <v>21217</v>
      </c>
      <c r="D5" s="4">
        <v>224</v>
      </c>
      <c r="E5" s="4">
        <v>1586</v>
      </c>
      <c r="F5" s="3">
        <v>33</v>
      </c>
      <c r="G5" s="3">
        <v>30.8</v>
      </c>
      <c r="H5" t="s">
        <v>113</v>
      </c>
      <c r="I5" t="s">
        <v>106</v>
      </c>
    </row>
    <row r="6" spans="1:10" x14ac:dyDescent="0.25">
      <c r="A6" t="s">
        <v>65</v>
      </c>
      <c r="B6" t="s">
        <v>105</v>
      </c>
      <c r="C6" s="2">
        <v>21261</v>
      </c>
      <c r="D6" s="4">
        <v>406</v>
      </c>
      <c r="E6" s="4">
        <v>2685</v>
      </c>
      <c r="F6" s="3">
        <v>34.1</v>
      </c>
      <c r="G6" s="3">
        <v>3.25</v>
      </c>
      <c r="H6" t="s">
        <v>123</v>
      </c>
      <c r="I6" t="s">
        <v>111</v>
      </c>
    </row>
    <row r="7" spans="1:10" x14ac:dyDescent="0.25">
      <c r="A7" t="s">
        <v>61</v>
      </c>
      <c r="B7" t="s">
        <v>105</v>
      </c>
      <c r="C7" s="2">
        <v>21270</v>
      </c>
      <c r="D7" s="4">
        <v>121</v>
      </c>
      <c r="E7" s="4">
        <v>1746</v>
      </c>
      <c r="F7" s="3">
        <v>33.4</v>
      </c>
      <c r="G7" s="3">
        <v>31</v>
      </c>
      <c r="H7" t="s">
        <v>113</v>
      </c>
      <c r="I7" t="s">
        <v>112</v>
      </c>
    </row>
    <row r="8" spans="1:10" x14ac:dyDescent="0.25">
      <c r="A8" t="s">
        <v>114</v>
      </c>
      <c r="B8" t="s">
        <v>104</v>
      </c>
      <c r="C8" s="2">
        <v>21320</v>
      </c>
      <c r="D8" s="4">
        <v>135</v>
      </c>
      <c r="E8" s="4">
        <v>1168</v>
      </c>
      <c r="F8" s="3">
        <v>65</v>
      </c>
      <c r="G8" s="3">
        <v>2925</v>
      </c>
      <c r="I8" t="s">
        <v>115</v>
      </c>
    </row>
    <row r="9" spans="1:10" x14ac:dyDescent="0.25">
      <c r="A9" t="s">
        <v>63</v>
      </c>
      <c r="B9" t="s">
        <v>105</v>
      </c>
      <c r="C9" s="2">
        <v>21392</v>
      </c>
      <c r="D9" s="4">
        <v>163</v>
      </c>
      <c r="E9" s="4">
        <v>1380</v>
      </c>
      <c r="F9" s="3">
        <v>50.29</v>
      </c>
      <c r="G9" s="3">
        <v>37</v>
      </c>
      <c r="H9" t="s">
        <v>113</v>
      </c>
      <c r="I9" t="s">
        <v>116</v>
      </c>
    </row>
    <row r="10" spans="1:10" x14ac:dyDescent="0.25">
      <c r="A10" t="s">
        <v>117</v>
      </c>
      <c r="B10" t="s">
        <v>105</v>
      </c>
      <c r="C10" s="2">
        <v>21537</v>
      </c>
      <c r="D10" s="4">
        <v>110</v>
      </c>
      <c r="E10" s="4">
        <v>920</v>
      </c>
      <c r="F10" s="3">
        <v>32.299999999999997</v>
      </c>
      <c r="G10" s="3">
        <v>150</v>
      </c>
      <c r="H10" t="s">
        <v>118</v>
      </c>
      <c r="I10" t="s">
        <v>119</v>
      </c>
    </row>
    <row r="11" spans="1:10" x14ac:dyDescent="0.25">
      <c r="A11" t="s">
        <v>120</v>
      </c>
      <c r="B11" t="s">
        <v>104</v>
      </c>
      <c r="C11" s="2">
        <v>21552</v>
      </c>
      <c r="D11" s="4"/>
      <c r="E11" s="4"/>
      <c r="G11" s="3">
        <v>796.5</v>
      </c>
      <c r="I11" t="s">
        <v>121</v>
      </c>
      <c r="J11" t="s">
        <v>155</v>
      </c>
    </row>
    <row r="12" spans="1:10" x14ac:dyDescent="0.25">
      <c r="A12" t="s">
        <v>122</v>
      </c>
      <c r="B12" t="s">
        <v>105</v>
      </c>
      <c r="C12" s="2">
        <v>21598</v>
      </c>
      <c r="D12" s="4">
        <v>343</v>
      </c>
      <c r="E12" s="4">
        <v>2045</v>
      </c>
      <c r="F12" s="3">
        <v>32.880000000000003</v>
      </c>
      <c r="G12" s="3">
        <v>20.7</v>
      </c>
      <c r="H12" t="s">
        <v>123</v>
      </c>
      <c r="I12" t="s">
        <v>124</v>
      </c>
      <c r="J12" t="s">
        <v>125</v>
      </c>
    </row>
    <row r="13" spans="1:10" x14ac:dyDescent="0.25">
      <c r="A13" t="s">
        <v>133</v>
      </c>
      <c r="B13" t="s">
        <v>105</v>
      </c>
      <c r="C13" s="2">
        <v>21469</v>
      </c>
      <c r="D13" s="4"/>
      <c r="E13" s="4"/>
      <c r="G13" s="3">
        <v>75.3</v>
      </c>
      <c r="H13" t="s">
        <v>135</v>
      </c>
      <c r="I13" t="s">
        <v>134</v>
      </c>
    </row>
    <row r="14" spans="1:10" x14ac:dyDescent="0.25">
      <c r="A14" t="s">
        <v>138</v>
      </c>
      <c r="B14" t="s">
        <v>105</v>
      </c>
      <c r="C14" s="2">
        <v>21497</v>
      </c>
      <c r="D14" s="4"/>
      <c r="E14" s="4"/>
      <c r="G14" s="3">
        <v>86.3</v>
      </c>
      <c r="H14" t="s">
        <v>135</v>
      </c>
      <c r="I14" t="s">
        <v>139</v>
      </c>
    </row>
    <row r="15" spans="1:10" x14ac:dyDescent="0.25">
      <c r="A15" t="s">
        <v>136</v>
      </c>
      <c r="B15" t="s">
        <v>105</v>
      </c>
      <c r="C15" s="2">
        <v>21525</v>
      </c>
      <c r="D15" s="4"/>
      <c r="E15" s="4"/>
      <c r="G15" s="3">
        <v>12.95</v>
      </c>
      <c r="H15" t="s">
        <v>137</v>
      </c>
      <c r="I15" t="s">
        <v>140</v>
      </c>
    </row>
    <row r="16" spans="1:10" x14ac:dyDescent="0.25">
      <c r="A16" t="s">
        <v>141</v>
      </c>
      <c r="B16" t="s">
        <v>105</v>
      </c>
      <c r="C16" s="2">
        <v>21609</v>
      </c>
      <c r="D16" s="4">
        <v>99</v>
      </c>
      <c r="E16" s="4">
        <v>605</v>
      </c>
      <c r="F16" s="3">
        <v>89.7</v>
      </c>
      <c r="G16" s="3">
        <v>1300</v>
      </c>
      <c r="H16" t="s">
        <v>142</v>
      </c>
    </row>
    <row r="17" spans="1:10" x14ac:dyDescent="0.25">
      <c r="A17" t="s">
        <v>143</v>
      </c>
      <c r="B17" t="s">
        <v>105</v>
      </c>
      <c r="C17" s="2">
        <v>21612</v>
      </c>
      <c r="D17" s="4"/>
      <c r="E17" s="4"/>
      <c r="G17" s="3">
        <v>13.4</v>
      </c>
      <c r="H17" t="s">
        <v>137</v>
      </c>
      <c r="I17" t="s">
        <v>144</v>
      </c>
    </row>
    <row r="18" spans="1:10" x14ac:dyDescent="0.25">
      <c r="A18" t="s">
        <v>145</v>
      </c>
      <c r="B18" t="s">
        <v>105</v>
      </c>
      <c r="C18" s="2">
        <v>21653</v>
      </c>
      <c r="D18" s="4">
        <v>156</v>
      </c>
      <c r="E18" s="4">
        <v>225</v>
      </c>
      <c r="F18" s="3">
        <v>89.8</v>
      </c>
      <c r="G18" s="3">
        <v>1610</v>
      </c>
      <c r="H18" t="s">
        <v>142</v>
      </c>
      <c r="J18" t="s">
        <v>146</v>
      </c>
    </row>
    <row r="19" spans="1:10" x14ac:dyDescent="0.25">
      <c r="A19" t="s">
        <v>147</v>
      </c>
      <c r="B19" t="s">
        <v>105</v>
      </c>
      <c r="C19" s="2">
        <v>21769</v>
      </c>
      <c r="D19" s="4">
        <v>156</v>
      </c>
      <c r="E19" s="4">
        <v>26357</v>
      </c>
      <c r="F19" s="3">
        <v>47.85</v>
      </c>
      <c r="G19" s="3">
        <v>142</v>
      </c>
      <c r="H19" t="s">
        <v>135</v>
      </c>
      <c r="I19" t="s">
        <v>148</v>
      </c>
    </row>
    <row r="20" spans="1:10" x14ac:dyDescent="0.25">
      <c r="A20" t="s">
        <v>149</v>
      </c>
      <c r="B20" t="s">
        <v>104</v>
      </c>
      <c r="C20" s="2">
        <v>21805</v>
      </c>
      <c r="D20" s="4"/>
      <c r="E20" s="4"/>
      <c r="G20" s="3">
        <v>858.4</v>
      </c>
      <c r="I20" t="s">
        <v>150</v>
      </c>
      <c r="J20" t="s">
        <v>154</v>
      </c>
    </row>
    <row r="21" spans="1:10" x14ac:dyDescent="0.25">
      <c r="A21" t="s">
        <v>151</v>
      </c>
      <c r="B21" t="s">
        <v>105</v>
      </c>
      <c r="C21" s="2">
        <v>21811</v>
      </c>
      <c r="D21" s="4">
        <v>319</v>
      </c>
      <c r="E21" s="4">
        <v>2329</v>
      </c>
      <c r="F21" s="3">
        <v>33.299999999999997</v>
      </c>
      <c r="G21" s="3">
        <v>50</v>
      </c>
      <c r="H21" t="s">
        <v>123</v>
      </c>
      <c r="I21" t="s">
        <v>152</v>
      </c>
    </row>
    <row r="22" spans="1:10" x14ac:dyDescent="0.25">
      <c r="A22" t="s">
        <v>153</v>
      </c>
      <c r="B22" t="s">
        <v>104</v>
      </c>
      <c r="C22" s="2">
        <v>21827</v>
      </c>
      <c r="D22" s="4"/>
      <c r="E22" s="4"/>
      <c r="G22" s="3">
        <v>614</v>
      </c>
      <c r="I22" t="s">
        <v>157</v>
      </c>
      <c r="J22" t="s">
        <v>156</v>
      </c>
    </row>
    <row r="23" spans="1:10" x14ac:dyDescent="0.25">
      <c r="A23" t="s">
        <v>158</v>
      </c>
      <c r="B23" t="s">
        <v>105</v>
      </c>
      <c r="C23" s="2">
        <v>21836</v>
      </c>
      <c r="D23" s="4">
        <v>344</v>
      </c>
      <c r="E23" s="4">
        <v>669</v>
      </c>
      <c r="F23" s="3">
        <v>50.3</v>
      </c>
      <c r="G23" s="3">
        <v>91.5</v>
      </c>
      <c r="H23" t="s">
        <v>137</v>
      </c>
      <c r="I23" t="s">
        <v>159</v>
      </c>
    </row>
    <row r="24" spans="1:10" x14ac:dyDescent="0.25">
      <c r="A24" t="s">
        <v>160</v>
      </c>
      <c r="B24" t="s">
        <v>105</v>
      </c>
      <c r="C24" s="2">
        <v>21986</v>
      </c>
      <c r="D24" s="4"/>
      <c r="E24" s="4"/>
      <c r="G24" s="3">
        <v>94.8</v>
      </c>
      <c r="H24" t="s">
        <v>135</v>
      </c>
      <c r="I24" t="s">
        <v>161</v>
      </c>
      <c r="J24" t="s">
        <v>162</v>
      </c>
    </row>
    <row r="25" spans="1:10" x14ac:dyDescent="0.25">
      <c r="A25" t="s">
        <v>163</v>
      </c>
      <c r="B25" t="s">
        <v>105</v>
      </c>
      <c r="C25" s="2">
        <v>22007</v>
      </c>
      <c r="D25" s="4">
        <v>429</v>
      </c>
      <c r="E25" s="4">
        <v>467</v>
      </c>
      <c r="F25" s="3">
        <v>48.3</v>
      </c>
      <c r="G25" s="3">
        <v>270</v>
      </c>
      <c r="H25" t="s">
        <v>135</v>
      </c>
      <c r="I25" t="s">
        <v>164</v>
      </c>
    </row>
    <row r="26" spans="1:10" x14ac:dyDescent="0.25">
      <c r="A26" t="s">
        <v>165</v>
      </c>
      <c r="B26" t="s">
        <v>105</v>
      </c>
      <c r="C26" s="2">
        <v>22019</v>
      </c>
      <c r="D26" s="4">
        <v>233</v>
      </c>
      <c r="E26" s="4">
        <v>479</v>
      </c>
      <c r="F26" s="3">
        <v>51.28</v>
      </c>
      <c r="G26" s="3">
        <v>265</v>
      </c>
      <c r="H26" t="s">
        <v>168</v>
      </c>
      <c r="I26" t="s">
        <v>166</v>
      </c>
      <c r="J26" t="s">
        <v>167</v>
      </c>
    </row>
    <row r="27" spans="1:10" x14ac:dyDescent="0.25">
      <c r="A27" t="s">
        <v>169</v>
      </c>
      <c r="B27" t="s">
        <v>104</v>
      </c>
      <c r="C27" s="2">
        <v>22051</v>
      </c>
      <c r="D27" s="4">
        <v>195</v>
      </c>
      <c r="E27" s="4">
        <v>230</v>
      </c>
      <c r="F27" s="3">
        <v>64.900000000000006</v>
      </c>
      <c r="G27" s="3">
        <v>10008</v>
      </c>
      <c r="I27" t="s">
        <v>170</v>
      </c>
      <c r="J27" t="s">
        <v>171</v>
      </c>
    </row>
    <row r="28" spans="1:10" x14ac:dyDescent="0.25">
      <c r="A28" t="s">
        <v>172</v>
      </c>
      <c r="B28" t="s">
        <v>105</v>
      </c>
      <c r="C28" s="2">
        <v>21972</v>
      </c>
      <c r="D28" s="4"/>
      <c r="E28" s="4"/>
      <c r="G28" s="3">
        <v>4500</v>
      </c>
      <c r="H28" t="s">
        <v>173</v>
      </c>
      <c r="I28" t="s">
        <v>174</v>
      </c>
    </row>
    <row r="29" spans="1:10" x14ac:dyDescent="0.25">
      <c r="A29" t="s">
        <v>175</v>
      </c>
      <c r="B29" t="s">
        <v>105</v>
      </c>
      <c r="C29" s="2">
        <v>22089</v>
      </c>
      <c r="D29" s="4">
        <v>389</v>
      </c>
      <c r="E29" s="4">
        <v>665</v>
      </c>
      <c r="F29" s="3">
        <v>67</v>
      </c>
      <c r="G29" s="3">
        <v>223</v>
      </c>
      <c r="H29" t="s">
        <v>168</v>
      </c>
      <c r="I29" t="s">
        <v>176</v>
      </c>
      <c r="J29" t="s">
        <v>177</v>
      </c>
    </row>
    <row r="30" spans="1:10" x14ac:dyDescent="0.25">
      <c r="A30" t="s">
        <v>178</v>
      </c>
      <c r="B30" t="s">
        <v>105</v>
      </c>
      <c r="C30" s="2">
        <v>22089</v>
      </c>
      <c r="D30" s="4">
        <v>382</v>
      </c>
      <c r="E30" s="4">
        <v>657</v>
      </c>
      <c r="F30" s="3">
        <v>67.5</v>
      </c>
      <c r="G30" s="3">
        <v>42</v>
      </c>
      <c r="H30" t="s">
        <v>168</v>
      </c>
      <c r="I30" t="s">
        <v>179</v>
      </c>
    </row>
    <row r="31" spans="1:10" x14ac:dyDescent="0.25">
      <c r="A31" t="s">
        <v>180</v>
      </c>
      <c r="B31" t="s">
        <v>105</v>
      </c>
      <c r="C31" s="2">
        <v>22146</v>
      </c>
      <c r="D31" s="4"/>
      <c r="E31" s="4"/>
      <c r="G31" s="3">
        <v>475</v>
      </c>
      <c r="H31" t="s">
        <v>168</v>
      </c>
      <c r="I31" t="s">
        <v>181</v>
      </c>
      <c r="J31" t="s">
        <v>182</v>
      </c>
    </row>
    <row r="32" spans="1:10" x14ac:dyDescent="0.25">
      <c r="A32" t="s">
        <v>192</v>
      </c>
      <c r="B32" t="s">
        <v>104</v>
      </c>
      <c r="C32" s="2">
        <v>22147</v>
      </c>
      <c r="D32" s="4">
        <v>190</v>
      </c>
      <c r="E32" s="4">
        <v>211</v>
      </c>
      <c r="F32" s="3">
        <v>64.7</v>
      </c>
      <c r="G32" s="3">
        <v>10140</v>
      </c>
      <c r="I32" t="s">
        <v>183</v>
      </c>
      <c r="J32" t="s">
        <v>184</v>
      </c>
    </row>
    <row r="33" spans="1:10" x14ac:dyDescent="0.25">
      <c r="A33" t="s">
        <v>185</v>
      </c>
      <c r="B33" t="s">
        <v>105</v>
      </c>
      <c r="C33" s="2">
        <v>22193</v>
      </c>
      <c r="D33" s="4">
        <v>599</v>
      </c>
      <c r="E33" s="4">
        <v>755</v>
      </c>
      <c r="F33" s="3">
        <v>28.3</v>
      </c>
      <c r="G33" s="3">
        <v>500</v>
      </c>
      <c r="H33" t="s">
        <v>168</v>
      </c>
      <c r="I33" t="s">
        <v>181</v>
      </c>
      <c r="J33" t="s">
        <v>182</v>
      </c>
    </row>
    <row r="34" spans="1:10" x14ac:dyDescent="0.25">
      <c r="A34" t="s">
        <v>186</v>
      </c>
      <c r="B34" t="s">
        <v>105</v>
      </c>
      <c r="C34" s="2">
        <v>22223</v>
      </c>
      <c r="D34" s="4">
        <v>258</v>
      </c>
      <c r="E34" s="4">
        <v>1422</v>
      </c>
      <c r="F34" s="3">
        <v>50</v>
      </c>
      <c r="G34" s="3">
        <v>90</v>
      </c>
      <c r="H34" t="s">
        <v>137</v>
      </c>
      <c r="I34" t="s">
        <v>187</v>
      </c>
      <c r="J34" s="1" t="s">
        <v>188</v>
      </c>
    </row>
    <row r="35" spans="1:10" x14ac:dyDescent="0.25">
      <c r="A35" t="s">
        <v>189</v>
      </c>
      <c r="B35" t="s">
        <v>105</v>
      </c>
      <c r="C35" s="2">
        <v>22243</v>
      </c>
      <c r="D35" s="4">
        <v>387</v>
      </c>
      <c r="E35" s="4">
        <v>453</v>
      </c>
      <c r="F35" s="3">
        <v>48.5</v>
      </c>
      <c r="G35" s="3">
        <v>280</v>
      </c>
      <c r="H35" t="s">
        <v>191</v>
      </c>
      <c r="I35" t="s">
        <v>190</v>
      </c>
    </row>
    <row r="36" spans="1:10" x14ac:dyDescent="0.25">
      <c r="A36" t="s">
        <v>193</v>
      </c>
      <c r="B36" t="s">
        <v>104</v>
      </c>
      <c r="C36" s="2">
        <v>22251</v>
      </c>
      <c r="D36" s="4">
        <v>116</v>
      </c>
      <c r="E36" s="4">
        <v>160</v>
      </c>
      <c r="F36" s="3">
        <v>65</v>
      </c>
      <c r="G36" s="3">
        <v>10061</v>
      </c>
      <c r="I36" t="s">
        <v>183</v>
      </c>
      <c r="J36" t="s">
        <v>184</v>
      </c>
    </row>
    <row r="37" spans="1:10" x14ac:dyDescent="0.25">
      <c r="A37" t="s">
        <v>194</v>
      </c>
      <c r="B37" t="s">
        <v>104</v>
      </c>
      <c r="C37" s="2">
        <v>22324</v>
      </c>
      <c r="D37" s="4"/>
      <c r="E37" s="4"/>
      <c r="G37" s="3">
        <v>1419</v>
      </c>
      <c r="I37" t="s">
        <v>161</v>
      </c>
      <c r="J37" t="s">
        <v>195</v>
      </c>
    </row>
    <row r="38" spans="1:10" x14ac:dyDescent="0.25">
      <c r="A38" t="s">
        <v>196</v>
      </c>
      <c r="B38" t="s">
        <v>105</v>
      </c>
      <c r="C38" s="2">
        <v>22328</v>
      </c>
      <c r="D38" s="4">
        <v>399</v>
      </c>
      <c r="E38" s="4">
        <v>1607</v>
      </c>
      <c r="F38" s="3">
        <v>38.86</v>
      </c>
      <c r="G38" s="3">
        <v>15</v>
      </c>
      <c r="H38" t="s">
        <v>198</v>
      </c>
      <c r="I38" t="s">
        <v>197</v>
      </c>
    </row>
    <row r="39" spans="1:10" x14ac:dyDescent="0.25">
      <c r="A39" t="s">
        <v>199</v>
      </c>
      <c r="B39" t="s">
        <v>105</v>
      </c>
      <c r="C39" s="2">
        <v>22334</v>
      </c>
      <c r="D39" s="4">
        <v>117</v>
      </c>
      <c r="E39" s="4">
        <v>511</v>
      </c>
      <c r="F39" s="3">
        <v>28.4</v>
      </c>
      <c r="G39" s="3">
        <v>250</v>
      </c>
      <c r="H39" t="s">
        <v>168</v>
      </c>
      <c r="I39" t="s">
        <v>200</v>
      </c>
      <c r="J39" t="s">
        <v>177</v>
      </c>
    </row>
    <row r="40" spans="1:10" x14ac:dyDescent="0.25">
      <c r="A40" t="s">
        <v>201</v>
      </c>
      <c r="B40" t="s">
        <v>105</v>
      </c>
      <c r="C40" s="2">
        <v>22334</v>
      </c>
      <c r="D40" s="4">
        <v>117</v>
      </c>
      <c r="E40" s="4">
        <v>511</v>
      </c>
      <c r="F40" s="3">
        <v>28.4</v>
      </c>
      <c r="G40" s="3">
        <v>57</v>
      </c>
      <c r="H40" t="s">
        <v>168</v>
      </c>
      <c r="I40" t="s">
        <v>203</v>
      </c>
      <c r="J40" t="s">
        <v>202</v>
      </c>
    </row>
    <row r="41" spans="1:10" x14ac:dyDescent="0.25">
      <c r="A41" t="s">
        <v>204</v>
      </c>
      <c r="B41" t="s">
        <v>104</v>
      </c>
      <c r="C41" s="2">
        <v>22349</v>
      </c>
      <c r="D41" s="4">
        <v>114</v>
      </c>
      <c r="E41" s="4">
        <v>154</v>
      </c>
      <c r="F41" s="3">
        <v>64.900000000000006</v>
      </c>
      <c r="G41" s="3">
        <v>10340</v>
      </c>
      <c r="I41" t="s">
        <v>205</v>
      </c>
    </row>
    <row r="42" spans="1:10" x14ac:dyDescent="0.25">
      <c r="A42" t="s">
        <v>206</v>
      </c>
      <c r="B42" t="s">
        <v>104</v>
      </c>
      <c r="C42" s="2">
        <v>22365</v>
      </c>
      <c r="D42" s="4">
        <v>111</v>
      </c>
      <c r="E42" s="4">
        <v>150</v>
      </c>
      <c r="F42" s="3">
        <v>65.900000000000006</v>
      </c>
      <c r="G42" s="3">
        <v>10352</v>
      </c>
      <c r="I42" t="s">
        <v>205</v>
      </c>
    </row>
    <row r="43" spans="1:10" x14ac:dyDescent="0.25">
      <c r="A43" t="s">
        <v>207</v>
      </c>
      <c r="B43" t="s">
        <v>105</v>
      </c>
      <c r="C43" s="2">
        <v>22365</v>
      </c>
      <c r="D43" s="4">
        <v>100</v>
      </c>
      <c r="E43" s="4">
        <v>145</v>
      </c>
      <c r="F43" s="3">
        <v>33</v>
      </c>
      <c r="G43" s="3">
        <v>78</v>
      </c>
      <c r="H43" t="s">
        <v>191</v>
      </c>
      <c r="I43" t="s">
        <v>208</v>
      </c>
    </row>
    <row r="44" spans="1:10" x14ac:dyDescent="0.25">
      <c r="A44" t="s">
        <v>209</v>
      </c>
      <c r="B44" t="s">
        <v>104</v>
      </c>
      <c r="C44" s="2">
        <v>22383</v>
      </c>
      <c r="D44" s="4">
        <v>109</v>
      </c>
      <c r="E44" s="4">
        <v>188</v>
      </c>
      <c r="F44" s="3">
        <v>65.069999999999993</v>
      </c>
      <c r="G44" s="3">
        <v>10418</v>
      </c>
      <c r="I44" t="s">
        <v>210</v>
      </c>
    </row>
    <row r="45" spans="1:10" x14ac:dyDescent="0.25">
      <c r="A45" t="s">
        <v>211</v>
      </c>
      <c r="B45" t="s">
        <v>105</v>
      </c>
      <c r="C45" s="2">
        <v>22398</v>
      </c>
      <c r="D45" s="4">
        <v>305</v>
      </c>
      <c r="E45" s="4">
        <v>1106</v>
      </c>
      <c r="F45" s="3">
        <v>28.8</v>
      </c>
      <c r="G45" s="3">
        <v>95</v>
      </c>
      <c r="H45" t="s">
        <v>137</v>
      </c>
      <c r="I45" t="s">
        <v>212</v>
      </c>
      <c r="J45" t="s">
        <v>213</v>
      </c>
    </row>
    <row r="46" spans="1:10" x14ac:dyDescent="0.25">
      <c r="A46" t="s">
        <v>214</v>
      </c>
      <c r="B46" t="s">
        <v>105</v>
      </c>
      <c r="C46" s="2">
        <v>22448</v>
      </c>
      <c r="D46" s="4">
        <v>139</v>
      </c>
      <c r="E46" s="4">
        <v>252</v>
      </c>
      <c r="F46" s="3">
        <v>82.11</v>
      </c>
      <c r="G46" s="3">
        <v>300</v>
      </c>
      <c r="H46" t="s">
        <v>142</v>
      </c>
      <c r="I46" t="s">
        <v>215</v>
      </c>
      <c r="J46" t="s">
        <v>216</v>
      </c>
    </row>
    <row r="47" spans="1:10" x14ac:dyDescent="0.25">
      <c r="A47" t="s">
        <v>217</v>
      </c>
      <c r="B47" t="s">
        <v>105</v>
      </c>
      <c r="C47" s="2">
        <v>22491</v>
      </c>
      <c r="D47" s="4">
        <v>548</v>
      </c>
      <c r="E47" s="4">
        <v>619</v>
      </c>
      <c r="F47" s="3">
        <v>67</v>
      </c>
      <c r="H47" t="s">
        <v>218</v>
      </c>
      <c r="I47" t="s">
        <v>219</v>
      </c>
    </row>
    <row r="48" spans="1:10" x14ac:dyDescent="0.25">
      <c r="A48" t="s">
        <v>220</v>
      </c>
      <c r="B48" t="s">
        <v>105</v>
      </c>
      <c r="C48" s="2">
        <v>22469</v>
      </c>
      <c r="D48" s="4">
        <v>146</v>
      </c>
      <c r="E48" s="4">
        <v>503</v>
      </c>
      <c r="G48" s="3">
        <v>300</v>
      </c>
      <c r="I48" t="s">
        <v>221</v>
      </c>
      <c r="J48" t="s">
        <v>216</v>
      </c>
    </row>
    <row r="49" spans="1:10" x14ac:dyDescent="0.25">
      <c r="A49" t="s">
        <v>222</v>
      </c>
      <c r="B49" t="s">
        <v>105</v>
      </c>
      <c r="C49" s="2">
        <v>22509</v>
      </c>
      <c r="D49" s="4">
        <v>180</v>
      </c>
      <c r="E49" s="4">
        <v>47858</v>
      </c>
      <c r="F49" s="3">
        <v>33</v>
      </c>
      <c r="G49" s="3">
        <v>83</v>
      </c>
      <c r="I49" t="s">
        <v>223</v>
      </c>
    </row>
    <row r="50" spans="1:10" x14ac:dyDescent="0.25">
      <c r="A50" t="s">
        <v>224</v>
      </c>
      <c r="B50" t="s">
        <v>105</v>
      </c>
      <c r="C50" s="2">
        <v>22541</v>
      </c>
      <c r="D50" s="4">
        <v>150</v>
      </c>
      <c r="E50" s="4">
        <v>260</v>
      </c>
      <c r="F50" s="3">
        <v>82.7</v>
      </c>
      <c r="I50" t="s">
        <v>225</v>
      </c>
      <c r="J50" t="s">
        <v>216</v>
      </c>
    </row>
    <row r="51" spans="1:10" x14ac:dyDescent="0.25">
      <c r="A51" t="s">
        <v>226</v>
      </c>
      <c r="B51" t="s">
        <v>105</v>
      </c>
      <c r="C51" s="2">
        <v>22600</v>
      </c>
      <c r="D51" s="4">
        <v>562</v>
      </c>
      <c r="E51" s="4">
        <v>720</v>
      </c>
      <c r="F51" s="3">
        <v>32.43</v>
      </c>
      <c r="G51" s="3">
        <v>240</v>
      </c>
      <c r="I51" t="s">
        <v>227</v>
      </c>
      <c r="J51" t="s">
        <v>228</v>
      </c>
    </row>
    <row r="52" spans="1:10" x14ac:dyDescent="0.25">
      <c r="A52" t="s">
        <v>229</v>
      </c>
      <c r="B52" t="s">
        <v>105</v>
      </c>
      <c r="C52" s="2">
        <v>22670</v>
      </c>
      <c r="I52" t="s">
        <v>230</v>
      </c>
    </row>
    <row r="53" spans="1:10" x14ac:dyDescent="0.25">
      <c r="A53" t="s">
        <v>231</v>
      </c>
      <c r="B53" t="s">
        <v>105</v>
      </c>
      <c r="C53" s="2">
        <v>22670</v>
      </c>
      <c r="I53" t="s">
        <v>232</v>
      </c>
    </row>
    <row r="54" spans="1:10" x14ac:dyDescent="0.25">
      <c r="A54" t="s">
        <v>233</v>
      </c>
      <c r="B54" t="s">
        <v>105</v>
      </c>
      <c r="C54" s="2">
        <v>22670</v>
      </c>
      <c r="I54" t="s">
        <v>234</v>
      </c>
    </row>
    <row r="55" spans="1:10" x14ac:dyDescent="0.25">
      <c r="A55" t="s">
        <v>240</v>
      </c>
      <c r="B55" t="s">
        <v>105</v>
      </c>
      <c r="C55" s="2">
        <v>22672</v>
      </c>
      <c r="G55" s="3">
        <v>727</v>
      </c>
      <c r="I55" t="s">
        <v>235</v>
      </c>
      <c r="J55" t="s">
        <v>154</v>
      </c>
    </row>
    <row r="56" spans="1:10" x14ac:dyDescent="0.25">
      <c r="A56" t="s">
        <v>236</v>
      </c>
      <c r="B56" t="s">
        <v>105</v>
      </c>
      <c r="C56" s="2">
        <v>22712</v>
      </c>
      <c r="D56">
        <v>344</v>
      </c>
      <c r="E56">
        <v>370</v>
      </c>
      <c r="F56" s="3">
        <v>32.799999999999997</v>
      </c>
      <c r="G56" s="3">
        <v>458.3</v>
      </c>
      <c r="H56" t="s">
        <v>237</v>
      </c>
      <c r="I56" t="s">
        <v>239</v>
      </c>
      <c r="J56" t="s">
        <v>238</v>
      </c>
    </row>
    <row r="57" spans="1:10" x14ac:dyDescent="0.25">
      <c r="A57" t="s">
        <v>246</v>
      </c>
      <c r="B57" t="s">
        <v>105</v>
      </c>
      <c r="C57" s="2">
        <v>22885</v>
      </c>
      <c r="G57" s="3">
        <v>447</v>
      </c>
      <c r="I57" t="s">
        <v>247</v>
      </c>
      <c r="J57" t="s">
        <v>195</v>
      </c>
    </row>
  </sheetData>
  <hyperlinks>
    <hyperlink ref="A1"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
  <sheetViews>
    <sheetView workbookViewId="0">
      <selection activeCell="A3" sqref="A3"/>
    </sheetView>
  </sheetViews>
  <sheetFormatPr defaultRowHeight="15" x14ac:dyDescent="0.25"/>
  <sheetData>
    <row r="1" spans="1:2" x14ac:dyDescent="0.25">
      <c r="A1" t="s">
        <v>128</v>
      </c>
      <c r="B1" t="s">
        <v>127</v>
      </c>
    </row>
    <row r="2" spans="1:2" x14ac:dyDescent="0.25">
      <c r="A2" t="s">
        <v>130</v>
      </c>
      <c r="B2" t="s">
        <v>131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69"/>
  <sheetViews>
    <sheetView tabSelected="1" topLeftCell="A167" workbookViewId="0">
      <selection activeCell="K185" sqref="K185"/>
    </sheetView>
  </sheetViews>
  <sheetFormatPr defaultRowHeight="15" x14ac:dyDescent="0.25"/>
  <cols>
    <col min="1" max="1" width="55.7109375" bestFit="1" customWidth="1"/>
    <col min="2" max="2" width="12.85546875" bestFit="1" customWidth="1"/>
    <col min="3" max="3" width="10.140625" customWidth="1"/>
    <col min="4" max="4" width="13.28515625" customWidth="1"/>
    <col min="5" max="5" width="33.5703125" bestFit="1" customWidth="1"/>
    <col min="6" max="6" width="35.28515625" bestFit="1" customWidth="1"/>
    <col min="13" max="13" width="10.7109375" bestFit="1" customWidth="1"/>
  </cols>
  <sheetData>
    <row r="1" spans="1:10" x14ac:dyDescent="0.25">
      <c r="A1" t="s">
        <v>129</v>
      </c>
      <c r="B1" t="s">
        <v>3</v>
      </c>
      <c r="C1" t="s">
        <v>241</v>
      </c>
      <c r="D1" t="s">
        <v>555</v>
      </c>
      <c r="E1" t="s">
        <v>361</v>
      </c>
      <c r="F1" t="s">
        <v>50</v>
      </c>
      <c r="G1" t="s">
        <v>544</v>
      </c>
      <c r="H1" t="s">
        <v>545</v>
      </c>
      <c r="I1" t="s">
        <v>546</v>
      </c>
      <c r="J1" t="s">
        <v>549</v>
      </c>
    </row>
    <row r="2" spans="1:10" x14ac:dyDescent="0.25">
      <c r="A2" t="s">
        <v>249</v>
      </c>
      <c r="B2" t="s">
        <v>248</v>
      </c>
      <c r="C2">
        <v>1962</v>
      </c>
      <c r="F2" t="s">
        <v>250</v>
      </c>
    </row>
    <row r="3" spans="1:10" x14ac:dyDescent="0.25">
      <c r="A3" t="s">
        <v>483</v>
      </c>
      <c r="B3" t="s">
        <v>458</v>
      </c>
      <c r="E3" t="s">
        <v>450</v>
      </c>
    </row>
    <row r="4" spans="1:10" x14ac:dyDescent="0.25">
      <c r="A4" t="s">
        <v>472</v>
      </c>
      <c r="B4" t="s">
        <v>473</v>
      </c>
      <c r="E4" t="s">
        <v>450</v>
      </c>
    </row>
    <row r="5" spans="1:10" x14ac:dyDescent="0.25">
      <c r="A5" t="s">
        <v>531</v>
      </c>
      <c r="B5" t="s">
        <v>101</v>
      </c>
      <c r="E5" t="s">
        <v>526</v>
      </c>
    </row>
    <row r="6" spans="1:10" x14ac:dyDescent="0.25">
      <c r="A6" t="s">
        <v>280</v>
      </c>
      <c r="B6" t="s">
        <v>277</v>
      </c>
      <c r="E6" t="s">
        <v>362</v>
      </c>
    </row>
    <row r="7" spans="1:10" x14ac:dyDescent="0.25">
      <c r="A7" t="s">
        <v>471</v>
      </c>
      <c r="B7" t="s">
        <v>217</v>
      </c>
      <c r="E7" t="s">
        <v>450</v>
      </c>
    </row>
    <row r="8" spans="1:10" x14ac:dyDescent="0.25">
      <c r="A8" t="s">
        <v>471</v>
      </c>
      <c r="B8" t="s">
        <v>277</v>
      </c>
      <c r="E8" t="s">
        <v>450</v>
      </c>
    </row>
    <row r="9" spans="1:10" x14ac:dyDescent="0.25">
      <c r="A9" t="s">
        <v>481</v>
      </c>
      <c r="B9" t="s">
        <v>482</v>
      </c>
      <c r="E9" t="s">
        <v>450</v>
      </c>
    </row>
    <row r="10" spans="1:10" x14ac:dyDescent="0.25">
      <c r="A10" t="s">
        <v>423</v>
      </c>
      <c r="B10" t="s">
        <v>379</v>
      </c>
      <c r="E10" t="s">
        <v>400</v>
      </c>
    </row>
    <row r="11" spans="1:10" x14ac:dyDescent="0.25">
      <c r="A11" t="s">
        <v>320</v>
      </c>
      <c r="B11" t="s">
        <v>288</v>
      </c>
      <c r="C11">
        <v>1964</v>
      </c>
      <c r="D11">
        <v>2.721552</v>
      </c>
      <c r="F11" t="s">
        <v>319</v>
      </c>
    </row>
    <row r="12" spans="1:10" x14ac:dyDescent="0.25">
      <c r="A12" t="s">
        <v>396</v>
      </c>
      <c r="B12" t="s">
        <v>217</v>
      </c>
      <c r="E12" t="s">
        <v>362</v>
      </c>
    </row>
    <row r="13" spans="1:10" x14ac:dyDescent="0.25">
      <c r="A13" t="s">
        <v>394</v>
      </c>
      <c r="B13" t="s">
        <v>368</v>
      </c>
      <c r="E13" t="s">
        <v>362</v>
      </c>
    </row>
    <row r="14" spans="1:10" x14ac:dyDescent="0.25">
      <c r="A14" t="s">
        <v>395</v>
      </c>
      <c r="B14" t="s">
        <v>368</v>
      </c>
      <c r="E14" t="s">
        <v>362</v>
      </c>
    </row>
    <row r="15" spans="1:10" x14ac:dyDescent="0.25">
      <c r="A15" t="s">
        <v>391</v>
      </c>
      <c r="B15" t="s">
        <v>114</v>
      </c>
      <c r="E15" t="s">
        <v>362</v>
      </c>
    </row>
    <row r="16" spans="1:10" x14ac:dyDescent="0.25">
      <c r="A16" t="s">
        <v>428</v>
      </c>
      <c r="B16" t="s">
        <v>327</v>
      </c>
      <c r="E16" t="s">
        <v>400</v>
      </c>
    </row>
    <row r="17" spans="1:10" x14ac:dyDescent="0.25">
      <c r="A17" t="s">
        <v>499</v>
      </c>
      <c r="B17" t="s">
        <v>434</v>
      </c>
      <c r="E17" t="s">
        <v>500</v>
      </c>
    </row>
    <row r="18" spans="1:10" x14ac:dyDescent="0.25">
      <c r="A18" t="s">
        <v>522</v>
      </c>
      <c r="B18" t="s">
        <v>523</v>
      </c>
      <c r="E18" t="s">
        <v>510</v>
      </c>
    </row>
    <row r="19" spans="1:10" x14ac:dyDescent="0.25">
      <c r="A19" t="s">
        <v>522</v>
      </c>
      <c r="B19" t="s">
        <v>524</v>
      </c>
      <c r="E19" t="s">
        <v>510</v>
      </c>
    </row>
    <row r="20" spans="1:10" x14ac:dyDescent="0.25">
      <c r="A20" t="s">
        <v>330</v>
      </c>
      <c r="B20" t="s">
        <v>327</v>
      </c>
      <c r="C20">
        <v>1964</v>
      </c>
      <c r="F20" t="s">
        <v>331</v>
      </c>
    </row>
    <row r="21" spans="1:10" x14ac:dyDescent="0.25">
      <c r="A21" t="s">
        <v>538</v>
      </c>
      <c r="B21" t="s">
        <v>175</v>
      </c>
      <c r="E21" t="s">
        <v>526</v>
      </c>
    </row>
    <row r="22" spans="1:10" x14ac:dyDescent="0.25">
      <c r="A22" t="s">
        <v>367</v>
      </c>
      <c r="B22" t="s">
        <v>158</v>
      </c>
      <c r="E22" t="s">
        <v>362</v>
      </c>
    </row>
    <row r="23" spans="1:10" x14ac:dyDescent="0.25">
      <c r="A23" t="s">
        <v>367</v>
      </c>
      <c r="B23" t="s">
        <v>138</v>
      </c>
      <c r="D23">
        <v>2.7034083199999999</v>
      </c>
    </row>
    <row r="24" spans="1:10" x14ac:dyDescent="0.25">
      <c r="A24" t="s">
        <v>414</v>
      </c>
      <c r="B24" t="s">
        <v>222</v>
      </c>
      <c r="E24" t="s">
        <v>400</v>
      </c>
    </row>
    <row r="25" spans="1:10" x14ac:dyDescent="0.25">
      <c r="A25" t="s">
        <v>550</v>
      </c>
      <c r="B25" t="s">
        <v>360</v>
      </c>
      <c r="E25" t="s">
        <v>362</v>
      </c>
      <c r="F25" t="s">
        <v>551</v>
      </c>
      <c r="G25">
        <f>[1]!MI2KM(96)</f>
        <v>154.49664000000001</v>
      </c>
      <c r="H25">
        <f>[1]!MI2KM(313)</f>
        <v>503.72341999999998</v>
      </c>
      <c r="I25">
        <v>240</v>
      </c>
      <c r="J25" s="6" t="s">
        <v>552</v>
      </c>
    </row>
    <row r="26" spans="1:10" x14ac:dyDescent="0.25">
      <c r="A26" t="s">
        <v>294</v>
      </c>
      <c r="B26" t="s">
        <v>288</v>
      </c>
      <c r="C26">
        <v>1964</v>
      </c>
      <c r="D26">
        <v>5.8966960000000004</v>
      </c>
      <c r="F26" t="s">
        <v>311</v>
      </c>
    </row>
    <row r="27" spans="1:10" x14ac:dyDescent="0.25">
      <c r="A27" t="s">
        <v>382</v>
      </c>
      <c r="B27" t="s">
        <v>114</v>
      </c>
      <c r="E27" t="s">
        <v>362</v>
      </c>
    </row>
    <row r="28" spans="1:10" x14ac:dyDescent="0.25">
      <c r="A28" t="s">
        <v>411</v>
      </c>
      <c r="B28" t="s">
        <v>412</v>
      </c>
      <c r="E28" t="s">
        <v>400</v>
      </c>
    </row>
    <row r="29" spans="1:10" x14ac:dyDescent="0.25">
      <c r="A29" t="s">
        <v>295</v>
      </c>
      <c r="B29" t="s">
        <v>288</v>
      </c>
      <c r="C29">
        <v>1964</v>
      </c>
      <c r="D29">
        <v>9.7522280000000006</v>
      </c>
      <c r="F29" t="s">
        <v>312</v>
      </c>
    </row>
    <row r="30" spans="1:10" x14ac:dyDescent="0.25">
      <c r="A30" t="s">
        <v>328</v>
      </c>
      <c r="B30" t="s">
        <v>327</v>
      </c>
      <c r="C30">
        <v>1964</v>
      </c>
      <c r="F30" t="s">
        <v>329</v>
      </c>
    </row>
    <row r="31" spans="1:10" x14ac:dyDescent="0.25">
      <c r="A31" t="s">
        <v>406</v>
      </c>
      <c r="B31" t="s">
        <v>370</v>
      </c>
      <c r="E31" t="s">
        <v>400</v>
      </c>
    </row>
    <row r="32" spans="1:10" x14ac:dyDescent="0.25">
      <c r="A32" t="s">
        <v>406</v>
      </c>
      <c r="B32" t="s">
        <v>407</v>
      </c>
      <c r="E32" t="s">
        <v>400</v>
      </c>
    </row>
    <row r="33" spans="1:6" x14ac:dyDescent="0.25">
      <c r="A33" t="s">
        <v>521</v>
      </c>
      <c r="B33" t="s">
        <v>360</v>
      </c>
      <c r="E33" t="s">
        <v>510</v>
      </c>
    </row>
    <row r="34" spans="1:6" x14ac:dyDescent="0.25">
      <c r="A34" t="s">
        <v>385</v>
      </c>
      <c r="B34" t="s">
        <v>63</v>
      </c>
      <c r="E34" t="s">
        <v>362</v>
      </c>
    </row>
    <row r="35" spans="1:6" x14ac:dyDescent="0.25">
      <c r="A35" t="s">
        <v>436</v>
      </c>
      <c r="B35" t="s">
        <v>434</v>
      </c>
      <c r="E35" t="s">
        <v>429</v>
      </c>
    </row>
    <row r="36" spans="1:6" x14ac:dyDescent="0.25">
      <c r="A36" t="s">
        <v>436</v>
      </c>
      <c r="B36" t="s">
        <v>435</v>
      </c>
      <c r="E36" t="s">
        <v>429</v>
      </c>
    </row>
    <row r="37" spans="1:6" x14ac:dyDescent="0.25">
      <c r="A37" t="s">
        <v>388</v>
      </c>
      <c r="B37" t="s">
        <v>277</v>
      </c>
      <c r="E37" t="s">
        <v>362</v>
      </c>
    </row>
    <row r="38" spans="1:6" x14ac:dyDescent="0.25">
      <c r="A38" t="s">
        <v>536</v>
      </c>
      <c r="B38" t="s">
        <v>404</v>
      </c>
      <c r="E38" t="s">
        <v>526</v>
      </c>
    </row>
    <row r="39" spans="1:6" x14ac:dyDescent="0.25">
      <c r="A39" t="s">
        <v>257</v>
      </c>
      <c r="B39" t="s">
        <v>258</v>
      </c>
      <c r="C39">
        <v>1962</v>
      </c>
      <c r="F39" t="s">
        <v>259</v>
      </c>
    </row>
    <row r="40" spans="1:6" x14ac:dyDescent="0.25">
      <c r="A40" t="s">
        <v>257</v>
      </c>
      <c r="B40" t="s">
        <v>258</v>
      </c>
      <c r="E40" t="s">
        <v>362</v>
      </c>
    </row>
    <row r="41" spans="1:6" x14ac:dyDescent="0.25">
      <c r="A41" t="s">
        <v>426</v>
      </c>
      <c r="B41" t="s">
        <v>288</v>
      </c>
      <c r="E41" t="s">
        <v>400</v>
      </c>
    </row>
    <row r="42" spans="1:6" x14ac:dyDescent="0.25">
      <c r="A42" t="s">
        <v>520</v>
      </c>
      <c r="B42" t="s">
        <v>327</v>
      </c>
      <c r="E42" t="s">
        <v>510</v>
      </c>
    </row>
    <row r="43" spans="1:6" x14ac:dyDescent="0.25">
      <c r="A43" t="s">
        <v>520</v>
      </c>
      <c r="B43" t="s">
        <v>288</v>
      </c>
      <c r="E43" t="s">
        <v>510</v>
      </c>
    </row>
    <row r="44" spans="1:6" x14ac:dyDescent="0.25">
      <c r="A44" t="s">
        <v>520</v>
      </c>
      <c r="B44" t="s">
        <v>236</v>
      </c>
      <c r="E44" t="s">
        <v>510</v>
      </c>
    </row>
    <row r="45" spans="1:6" x14ac:dyDescent="0.25">
      <c r="A45" t="s">
        <v>509</v>
      </c>
      <c r="B45" t="s">
        <v>186</v>
      </c>
      <c r="E45" t="s">
        <v>507</v>
      </c>
    </row>
    <row r="46" spans="1:6" x14ac:dyDescent="0.25">
      <c r="A46" t="s">
        <v>255</v>
      </c>
      <c r="B46" t="s">
        <v>258</v>
      </c>
      <c r="C46">
        <v>1962</v>
      </c>
      <c r="F46" t="s">
        <v>259</v>
      </c>
    </row>
    <row r="47" spans="1:6" x14ac:dyDescent="0.25">
      <c r="A47" t="s">
        <v>255</v>
      </c>
      <c r="B47" t="s">
        <v>258</v>
      </c>
      <c r="E47" t="s">
        <v>362</v>
      </c>
    </row>
    <row r="48" spans="1:6" x14ac:dyDescent="0.25">
      <c r="A48" t="s">
        <v>443</v>
      </c>
      <c r="B48" t="s">
        <v>186</v>
      </c>
      <c r="E48" t="s">
        <v>429</v>
      </c>
    </row>
    <row r="49" spans="1:6" x14ac:dyDescent="0.25">
      <c r="A49" t="s">
        <v>431</v>
      </c>
      <c r="B49" t="s">
        <v>412</v>
      </c>
      <c r="E49" t="s">
        <v>429</v>
      </c>
    </row>
    <row r="50" spans="1:6" x14ac:dyDescent="0.25">
      <c r="A50" t="s">
        <v>375</v>
      </c>
      <c r="B50" t="s">
        <v>376</v>
      </c>
      <c r="E50" t="s">
        <v>362</v>
      </c>
    </row>
    <row r="51" spans="1:6" x14ac:dyDescent="0.25">
      <c r="A51" t="s">
        <v>254</v>
      </c>
      <c r="B51" t="s">
        <v>258</v>
      </c>
      <c r="C51">
        <v>1962</v>
      </c>
      <c r="F51" t="s">
        <v>259</v>
      </c>
    </row>
    <row r="52" spans="1:6" x14ac:dyDescent="0.25">
      <c r="A52" t="s">
        <v>254</v>
      </c>
      <c r="B52" t="s">
        <v>258</v>
      </c>
      <c r="E52" t="s">
        <v>362</v>
      </c>
    </row>
    <row r="53" spans="1:6" x14ac:dyDescent="0.25">
      <c r="A53" t="s">
        <v>401</v>
      </c>
      <c r="B53" t="s">
        <v>277</v>
      </c>
      <c r="E53" t="s">
        <v>400</v>
      </c>
    </row>
    <row r="54" spans="1:6" x14ac:dyDescent="0.25">
      <c r="A54" t="s">
        <v>392</v>
      </c>
      <c r="B54" t="s">
        <v>393</v>
      </c>
      <c r="E54" t="s">
        <v>362</v>
      </c>
    </row>
    <row r="55" spans="1:6" x14ac:dyDescent="0.25">
      <c r="A55" t="s">
        <v>430</v>
      </c>
      <c r="B55" t="s">
        <v>412</v>
      </c>
      <c r="E55" t="s">
        <v>429</v>
      </c>
    </row>
    <row r="56" spans="1:6" x14ac:dyDescent="0.25">
      <c r="A56" t="s">
        <v>343</v>
      </c>
      <c r="B56" t="s">
        <v>222</v>
      </c>
      <c r="C56">
        <v>1961</v>
      </c>
      <c r="F56" t="s">
        <v>346</v>
      </c>
    </row>
    <row r="57" spans="1:6" x14ac:dyDescent="0.25">
      <c r="A57" t="s">
        <v>343</v>
      </c>
      <c r="B57" t="s">
        <v>350</v>
      </c>
      <c r="C57">
        <v>1964</v>
      </c>
      <c r="F57" t="s">
        <v>346</v>
      </c>
    </row>
    <row r="58" spans="1:6" x14ac:dyDescent="0.25">
      <c r="A58" t="s">
        <v>402</v>
      </c>
      <c r="B58" t="s">
        <v>376</v>
      </c>
      <c r="E58" t="s">
        <v>400</v>
      </c>
    </row>
    <row r="59" spans="1:6" x14ac:dyDescent="0.25">
      <c r="A59" t="s">
        <v>344</v>
      </c>
      <c r="B59" t="s">
        <v>222</v>
      </c>
      <c r="C59">
        <v>1961</v>
      </c>
      <c r="F59" t="s">
        <v>347</v>
      </c>
    </row>
    <row r="60" spans="1:6" x14ac:dyDescent="0.25">
      <c r="A60" t="s">
        <v>344</v>
      </c>
      <c r="B60" t="s">
        <v>350</v>
      </c>
      <c r="C60">
        <v>1964</v>
      </c>
      <c r="F60" t="s">
        <v>347</v>
      </c>
    </row>
    <row r="61" spans="1:6" x14ac:dyDescent="0.25">
      <c r="A61" t="s">
        <v>448</v>
      </c>
      <c r="B61" t="s">
        <v>379</v>
      </c>
      <c r="E61" t="s">
        <v>429</v>
      </c>
    </row>
    <row r="62" spans="1:6" x14ac:dyDescent="0.25">
      <c r="A62" t="s">
        <v>446</v>
      </c>
      <c r="B62" t="s">
        <v>376</v>
      </c>
      <c r="E62" t="s">
        <v>429</v>
      </c>
    </row>
    <row r="63" spans="1:6" x14ac:dyDescent="0.25">
      <c r="A63" t="s">
        <v>446</v>
      </c>
      <c r="B63" t="s">
        <v>360</v>
      </c>
      <c r="E63" t="s">
        <v>429</v>
      </c>
    </row>
    <row r="64" spans="1:6" x14ac:dyDescent="0.25">
      <c r="A64" t="s">
        <v>508</v>
      </c>
      <c r="B64" t="s">
        <v>114</v>
      </c>
      <c r="E64" t="s">
        <v>507</v>
      </c>
    </row>
    <row r="65" spans="1:6" x14ac:dyDescent="0.25">
      <c r="A65" t="s">
        <v>380</v>
      </c>
      <c r="B65" t="s">
        <v>381</v>
      </c>
      <c r="E65" t="s">
        <v>362</v>
      </c>
    </row>
    <row r="66" spans="1:6" x14ac:dyDescent="0.25">
      <c r="A66" t="s">
        <v>408</v>
      </c>
      <c r="B66" t="s">
        <v>409</v>
      </c>
      <c r="E66" t="s">
        <v>400</v>
      </c>
    </row>
    <row r="67" spans="1:6" x14ac:dyDescent="0.25">
      <c r="A67" t="s">
        <v>408</v>
      </c>
      <c r="B67" t="s">
        <v>246</v>
      </c>
      <c r="C67">
        <v>1962</v>
      </c>
      <c r="D67" t="s">
        <v>556</v>
      </c>
      <c r="E67" t="s">
        <v>400</v>
      </c>
    </row>
    <row r="68" spans="1:6" x14ac:dyDescent="0.25">
      <c r="A68" t="s">
        <v>432</v>
      </c>
      <c r="B68" t="s">
        <v>207</v>
      </c>
      <c r="E68" t="s">
        <v>429</v>
      </c>
    </row>
    <row r="69" spans="1:6" x14ac:dyDescent="0.25">
      <c r="A69" t="s">
        <v>432</v>
      </c>
      <c r="B69" t="s">
        <v>376</v>
      </c>
      <c r="E69" t="s">
        <v>429</v>
      </c>
    </row>
    <row r="70" spans="1:6" x14ac:dyDescent="0.25">
      <c r="A70" t="s">
        <v>432</v>
      </c>
      <c r="B70" t="s">
        <v>370</v>
      </c>
      <c r="E70" t="s">
        <v>429</v>
      </c>
    </row>
    <row r="71" spans="1:6" x14ac:dyDescent="0.25">
      <c r="A71" t="s">
        <v>456</v>
      </c>
      <c r="B71" t="s">
        <v>455</v>
      </c>
      <c r="E71" t="s">
        <v>450</v>
      </c>
    </row>
    <row r="72" spans="1:6" x14ac:dyDescent="0.25">
      <c r="A72" t="s">
        <v>529</v>
      </c>
      <c r="B72" t="s">
        <v>530</v>
      </c>
      <c r="E72" t="s">
        <v>526</v>
      </c>
    </row>
    <row r="73" spans="1:6" x14ac:dyDescent="0.25">
      <c r="A73" t="s">
        <v>326</v>
      </c>
      <c r="B73" t="s">
        <v>222</v>
      </c>
      <c r="E73" t="s">
        <v>504</v>
      </c>
    </row>
    <row r="74" spans="1:6" x14ac:dyDescent="0.25">
      <c r="A74" t="s">
        <v>326</v>
      </c>
      <c r="B74" t="s">
        <v>253</v>
      </c>
      <c r="C74">
        <v>1962</v>
      </c>
      <c r="F74" t="s">
        <v>251</v>
      </c>
    </row>
    <row r="75" spans="1:6" x14ac:dyDescent="0.25">
      <c r="A75" t="s">
        <v>326</v>
      </c>
      <c r="B75" t="s">
        <v>147</v>
      </c>
      <c r="E75" t="s">
        <v>504</v>
      </c>
    </row>
    <row r="76" spans="1:6" x14ac:dyDescent="0.25">
      <c r="A76" t="s">
        <v>326</v>
      </c>
      <c r="B76" t="s">
        <v>246</v>
      </c>
      <c r="C76">
        <v>1962</v>
      </c>
      <c r="D76" t="s">
        <v>556</v>
      </c>
      <c r="E76" t="s">
        <v>504</v>
      </c>
    </row>
    <row r="77" spans="1:6" x14ac:dyDescent="0.25">
      <c r="A77" t="s">
        <v>326</v>
      </c>
      <c r="B77" t="s">
        <v>114</v>
      </c>
      <c r="E77" t="s">
        <v>504</v>
      </c>
    </row>
    <row r="78" spans="1:6" x14ac:dyDescent="0.25">
      <c r="A78" t="s">
        <v>285</v>
      </c>
      <c r="B78" t="s">
        <v>286</v>
      </c>
      <c r="C78">
        <v>1964</v>
      </c>
      <c r="F78" t="s">
        <v>287</v>
      </c>
    </row>
    <row r="79" spans="1:6" x14ac:dyDescent="0.25">
      <c r="A79" t="s">
        <v>422</v>
      </c>
      <c r="B79" t="s">
        <v>379</v>
      </c>
      <c r="E79" t="s">
        <v>400</v>
      </c>
    </row>
    <row r="80" spans="1:6" x14ac:dyDescent="0.25">
      <c r="A80" t="s">
        <v>387</v>
      </c>
      <c r="B80" t="s">
        <v>236</v>
      </c>
      <c r="E80" t="s">
        <v>362</v>
      </c>
    </row>
    <row r="81" spans="1:13" x14ac:dyDescent="0.25">
      <c r="A81" t="s">
        <v>387</v>
      </c>
      <c r="B81" t="s">
        <v>236</v>
      </c>
      <c r="E81" t="s">
        <v>400</v>
      </c>
    </row>
    <row r="82" spans="1:13" x14ac:dyDescent="0.25">
      <c r="A82" t="s">
        <v>410</v>
      </c>
      <c r="B82" t="s">
        <v>236</v>
      </c>
      <c r="E82" t="s">
        <v>400</v>
      </c>
    </row>
    <row r="83" spans="1:13" x14ac:dyDescent="0.25">
      <c r="A83" t="s">
        <v>389</v>
      </c>
      <c r="B83" t="s">
        <v>390</v>
      </c>
      <c r="E83" t="s">
        <v>362</v>
      </c>
    </row>
    <row r="84" spans="1:13" x14ac:dyDescent="0.25">
      <c r="A84" t="s">
        <v>416</v>
      </c>
      <c r="B84" t="s">
        <v>211</v>
      </c>
      <c r="E84" t="s">
        <v>400</v>
      </c>
    </row>
    <row r="85" spans="1:13" x14ac:dyDescent="0.25">
      <c r="A85" t="s">
        <v>269</v>
      </c>
      <c r="B85" t="s">
        <v>261</v>
      </c>
      <c r="C85">
        <v>1962</v>
      </c>
      <c r="F85" t="s">
        <v>270</v>
      </c>
    </row>
    <row r="86" spans="1:13" x14ac:dyDescent="0.25">
      <c r="A86" t="s">
        <v>512</v>
      </c>
      <c r="B86" t="s">
        <v>57</v>
      </c>
      <c r="E86" t="s">
        <v>510</v>
      </c>
    </row>
    <row r="87" spans="1:13" x14ac:dyDescent="0.25">
      <c r="A87" t="s">
        <v>512</v>
      </c>
      <c r="B87" t="s">
        <v>513</v>
      </c>
      <c r="E87" t="s">
        <v>510</v>
      </c>
    </row>
    <row r="88" spans="1:13" x14ac:dyDescent="0.25">
      <c r="A88" t="s">
        <v>305</v>
      </c>
      <c r="B88" t="s">
        <v>288</v>
      </c>
      <c r="C88">
        <v>1964</v>
      </c>
      <c r="D88">
        <v>3.7421340000000001</v>
      </c>
      <c r="F88" t="s">
        <v>325</v>
      </c>
    </row>
    <row r="89" spans="1:13" x14ac:dyDescent="0.25">
      <c r="A89" t="s">
        <v>478</v>
      </c>
      <c r="B89" t="s">
        <v>288</v>
      </c>
      <c r="E89" t="s">
        <v>450</v>
      </c>
    </row>
    <row r="90" spans="1:13" x14ac:dyDescent="0.25">
      <c r="A90" t="s">
        <v>140</v>
      </c>
      <c r="B90" t="s">
        <v>149</v>
      </c>
      <c r="E90" t="s">
        <v>362</v>
      </c>
    </row>
    <row r="91" spans="1:13" x14ac:dyDescent="0.25">
      <c r="A91" t="s">
        <v>140</v>
      </c>
      <c r="B91" t="s">
        <v>136</v>
      </c>
      <c r="E91" t="s">
        <v>362</v>
      </c>
    </row>
    <row r="92" spans="1:13" x14ac:dyDescent="0.25">
      <c r="A92" t="s">
        <v>365</v>
      </c>
      <c r="B92" t="s">
        <v>63</v>
      </c>
      <c r="E92" t="s">
        <v>362</v>
      </c>
      <c r="F92" t="s">
        <v>558</v>
      </c>
      <c r="G92">
        <f>[1]!MI2KM(163)</f>
        <v>262.32242000000002</v>
      </c>
      <c r="H92">
        <f>[1]!MI2KM(1380)</f>
        <v>2220.8892000000001</v>
      </c>
      <c r="I92">
        <f>39*24</f>
        <v>936</v>
      </c>
      <c r="M92" s="2"/>
    </row>
    <row r="93" spans="1:13" x14ac:dyDescent="0.25">
      <c r="A93" t="s">
        <v>363</v>
      </c>
      <c r="B93" t="s">
        <v>57</v>
      </c>
      <c r="E93" t="s">
        <v>362</v>
      </c>
      <c r="F93" t="s">
        <v>553</v>
      </c>
      <c r="G93">
        <f>[1]!MI2KM(224)</f>
        <v>360.49216000000001</v>
      </c>
      <c r="H93">
        <f>[1]!MI2KM(1586)</f>
        <v>2552.4132399999999</v>
      </c>
      <c r="I93">
        <f>112*24</f>
        <v>2688</v>
      </c>
      <c r="J93">
        <v>47</v>
      </c>
      <c r="M93" s="2"/>
    </row>
    <row r="94" spans="1:13" x14ac:dyDescent="0.25">
      <c r="A94" t="s">
        <v>363</v>
      </c>
      <c r="B94" t="s">
        <v>61</v>
      </c>
      <c r="E94" t="s">
        <v>362</v>
      </c>
      <c r="F94" t="s">
        <v>557</v>
      </c>
      <c r="G94">
        <f>[1]!MI2KM(121)</f>
        <v>194.73014000000001</v>
      </c>
      <c r="H94">
        <f>[1]!MI2KM(1746)</f>
        <v>2809.9076399999999</v>
      </c>
      <c r="I94">
        <f>71*24</f>
        <v>1704</v>
      </c>
    </row>
    <row r="95" spans="1:13" x14ac:dyDescent="0.25">
      <c r="A95" t="s">
        <v>371</v>
      </c>
      <c r="B95" t="s">
        <v>368</v>
      </c>
      <c r="E95" t="s">
        <v>362</v>
      </c>
      <c r="M95" s="2"/>
    </row>
    <row r="96" spans="1:13" x14ac:dyDescent="0.25">
      <c r="A96" t="s">
        <v>369</v>
      </c>
      <c r="B96" t="s">
        <v>370</v>
      </c>
      <c r="E96" t="s">
        <v>362</v>
      </c>
      <c r="M96" s="2"/>
    </row>
    <row r="97" spans="1:13" x14ac:dyDescent="0.25">
      <c r="A97" t="s">
        <v>364</v>
      </c>
      <c r="B97" t="s">
        <v>101</v>
      </c>
      <c r="D97">
        <v>2.5</v>
      </c>
      <c r="E97" t="s">
        <v>362</v>
      </c>
      <c r="F97" t="s">
        <v>554</v>
      </c>
      <c r="I97">
        <v>200</v>
      </c>
      <c r="J97">
        <f>[1]!ToMill(0.15)</f>
        <v>150</v>
      </c>
      <c r="M97" s="2"/>
    </row>
    <row r="98" spans="1:13" x14ac:dyDescent="0.25">
      <c r="A98" t="s">
        <v>304</v>
      </c>
      <c r="B98" t="s">
        <v>288</v>
      </c>
      <c r="C98">
        <v>1964</v>
      </c>
      <c r="D98">
        <v>1.587572</v>
      </c>
      <c r="F98" t="s">
        <v>324</v>
      </c>
    </row>
    <row r="99" spans="1:13" x14ac:dyDescent="0.25">
      <c r="A99" t="s">
        <v>415</v>
      </c>
      <c r="B99" t="s">
        <v>217</v>
      </c>
      <c r="E99" t="s">
        <v>400</v>
      </c>
    </row>
    <row r="100" spans="1:13" x14ac:dyDescent="0.25">
      <c r="A100" t="s">
        <v>405</v>
      </c>
      <c r="B100" t="s">
        <v>222</v>
      </c>
      <c r="E100" t="s">
        <v>400</v>
      </c>
    </row>
    <row r="101" spans="1:13" x14ac:dyDescent="0.25">
      <c r="A101" t="s">
        <v>405</v>
      </c>
      <c r="B101" t="s">
        <v>253</v>
      </c>
      <c r="E101" t="s">
        <v>400</v>
      </c>
    </row>
    <row r="102" spans="1:13" x14ac:dyDescent="0.25">
      <c r="A102" t="s">
        <v>547</v>
      </c>
      <c r="B102" t="s">
        <v>158</v>
      </c>
      <c r="E102" t="s">
        <v>362</v>
      </c>
      <c r="F102" t="s">
        <v>548</v>
      </c>
      <c r="I102">
        <f>232*24</f>
        <v>5568</v>
      </c>
      <c r="J102">
        <v>54</v>
      </c>
    </row>
    <row r="103" spans="1:13" x14ac:dyDescent="0.25">
      <c r="A103" t="s">
        <v>337</v>
      </c>
      <c r="B103" t="s">
        <v>327</v>
      </c>
      <c r="C103">
        <v>1964</v>
      </c>
      <c r="F103" t="s">
        <v>338</v>
      </c>
    </row>
    <row r="104" spans="1:13" x14ac:dyDescent="0.25">
      <c r="A104" t="s">
        <v>356</v>
      </c>
      <c r="B104" t="s">
        <v>352</v>
      </c>
      <c r="C104">
        <v>1965</v>
      </c>
    </row>
    <row r="105" spans="1:13" x14ac:dyDescent="0.25">
      <c r="A105" t="s">
        <v>425</v>
      </c>
      <c r="B105" t="s">
        <v>352</v>
      </c>
      <c r="E105" t="s">
        <v>400</v>
      </c>
    </row>
    <row r="106" spans="1:13" x14ac:dyDescent="0.25">
      <c r="A106" t="s">
        <v>418</v>
      </c>
      <c r="B106" t="s">
        <v>368</v>
      </c>
      <c r="E106" t="s">
        <v>400</v>
      </c>
    </row>
    <row r="107" spans="1:13" x14ac:dyDescent="0.25">
      <c r="A107" t="s">
        <v>457</v>
      </c>
      <c r="B107" t="s">
        <v>458</v>
      </c>
      <c r="E107" t="s">
        <v>450</v>
      </c>
    </row>
    <row r="108" spans="1:13" x14ac:dyDescent="0.25">
      <c r="A108" t="s">
        <v>501</v>
      </c>
      <c r="B108" t="s">
        <v>434</v>
      </c>
      <c r="E108" t="s">
        <v>500</v>
      </c>
    </row>
    <row r="109" spans="1:13" x14ac:dyDescent="0.25">
      <c r="A109" t="s">
        <v>467</v>
      </c>
      <c r="B109" t="s">
        <v>236</v>
      </c>
      <c r="E109" t="s">
        <v>450</v>
      </c>
    </row>
    <row r="110" spans="1:13" x14ac:dyDescent="0.25">
      <c r="A110" t="s">
        <v>467</v>
      </c>
      <c r="B110" t="s">
        <v>465</v>
      </c>
      <c r="E110" t="s">
        <v>450</v>
      </c>
    </row>
    <row r="111" spans="1:13" x14ac:dyDescent="0.25">
      <c r="A111" t="s">
        <v>463</v>
      </c>
      <c r="B111" t="s">
        <v>464</v>
      </c>
      <c r="E111" t="s">
        <v>450</v>
      </c>
    </row>
    <row r="112" spans="1:13" x14ac:dyDescent="0.25">
      <c r="A112" t="s">
        <v>243</v>
      </c>
      <c r="B112" t="s">
        <v>246</v>
      </c>
      <c r="C112">
        <v>1962</v>
      </c>
      <c r="D112" t="s">
        <v>556</v>
      </c>
      <c r="E112" t="s">
        <v>450</v>
      </c>
    </row>
    <row r="113" spans="1:9" x14ac:dyDescent="0.25">
      <c r="A113" t="s">
        <v>263</v>
      </c>
      <c r="B113" t="s">
        <v>261</v>
      </c>
      <c r="C113">
        <v>1962</v>
      </c>
      <c r="F113" t="s">
        <v>264</v>
      </c>
    </row>
    <row r="114" spans="1:9" x14ac:dyDescent="0.25">
      <c r="A114" t="s">
        <v>421</v>
      </c>
      <c r="B114" t="s">
        <v>277</v>
      </c>
      <c r="E114" t="s">
        <v>400</v>
      </c>
    </row>
    <row r="115" spans="1:9" x14ac:dyDescent="0.25">
      <c r="A115" t="s">
        <v>302</v>
      </c>
      <c r="B115" t="s">
        <v>288</v>
      </c>
      <c r="C115">
        <v>1964</v>
      </c>
      <c r="D115">
        <v>2.26796</v>
      </c>
      <c r="F115" t="s">
        <v>321</v>
      </c>
    </row>
    <row r="116" spans="1:9" x14ac:dyDescent="0.25">
      <c r="A116" t="s">
        <v>359</v>
      </c>
      <c r="B116" t="s">
        <v>133</v>
      </c>
      <c r="E116" t="s">
        <v>362</v>
      </c>
      <c r="F116" t="s">
        <v>543</v>
      </c>
      <c r="G116">
        <v>3500</v>
      </c>
      <c r="H116">
        <v>36000</v>
      </c>
      <c r="I116">
        <v>43</v>
      </c>
    </row>
    <row r="117" spans="1:9" x14ac:dyDescent="0.25">
      <c r="A117" t="s">
        <v>359</v>
      </c>
      <c r="B117" t="s">
        <v>138</v>
      </c>
      <c r="D117">
        <v>0.49895120000000004</v>
      </c>
    </row>
    <row r="118" spans="1:9" x14ac:dyDescent="0.25">
      <c r="A118" t="s">
        <v>441</v>
      </c>
      <c r="B118" t="s">
        <v>186</v>
      </c>
      <c r="E118" t="s">
        <v>429</v>
      </c>
    </row>
    <row r="119" spans="1:9" x14ac:dyDescent="0.25">
      <c r="A119" t="s">
        <v>440</v>
      </c>
      <c r="B119" t="s">
        <v>412</v>
      </c>
      <c r="E119" t="s">
        <v>429</v>
      </c>
    </row>
    <row r="120" spans="1:9" x14ac:dyDescent="0.25">
      <c r="A120" t="s">
        <v>440</v>
      </c>
      <c r="B120" t="s">
        <v>288</v>
      </c>
      <c r="E120" t="s">
        <v>429</v>
      </c>
    </row>
    <row r="121" spans="1:9" x14ac:dyDescent="0.25">
      <c r="A121" t="s">
        <v>439</v>
      </c>
      <c r="B121" t="s">
        <v>114</v>
      </c>
      <c r="E121" t="s">
        <v>429</v>
      </c>
    </row>
    <row r="122" spans="1:9" x14ac:dyDescent="0.25">
      <c r="A122" t="s">
        <v>273</v>
      </c>
      <c r="B122" t="s">
        <v>261</v>
      </c>
      <c r="C122">
        <v>1962</v>
      </c>
      <c r="F122" t="s">
        <v>274</v>
      </c>
    </row>
    <row r="123" spans="1:9" x14ac:dyDescent="0.25">
      <c r="A123" t="s">
        <v>252</v>
      </c>
      <c r="B123" t="s">
        <v>222</v>
      </c>
      <c r="C123">
        <v>1961</v>
      </c>
      <c r="F123" t="s">
        <v>351</v>
      </c>
    </row>
    <row r="124" spans="1:9" x14ac:dyDescent="0.25">
      <c r="A124" t="s">
        <v>252</v>
      </c>
      <c r="B124" t="s">
        <v>222</v>
      </c>
      <c r="E124" t="s">
        <v>362</v>
      </c>
    </row>
    <row r="125" spans="1:9" x14ac:dyDescent="0.25">
      <c r="A125" t="s">
        <v>252</v>
      </c>
      <c r="B125" t="s">
        <v>253</v>
      </c>
      <c r="C125">
        <v>1962</v>
      </c>
      <c r="F125" t="s">
        <v>351</v>
      </c>
    </row>
    <row r="126" spans="1:9" x14ac:dyDescent="0.25">
      <c r="A126" t="s">
        <v>252</v>
      </c>
      <c r="B126" t="s">
        <v>258</v>
      </c>
      <c r="C126">
        <v>1962</v>
      </c>
      <c r="F126" t="s">
        <v>351</v>
      </c>
    </row>
    <row r="127" spans="1:9" x14ac:dyDescent="0.25">
      <c r="A127" t="s">
        <v>252</v>
      </c>
      <c r="B127" t="s">
        <v>350</v>
      </c>
      <c r="C127">
        <v>1964</v>
      </c>
      <c r="F127" t="s">
        <v>349</v>
      </c>
    </row>
    <row r="128" spans="1:9" x14ac:dyDescent="0.25">
      <c r="A128" t="s">
        <v>282</v>
      </c>
      <c r="B128" t="s">
        <v>370</v>
      </c>
      <c r="E128" t="s">
        <v>400</v>
      </c>
    </row>
    <row r="129" spans="1:6" x14ac:dyDescent="0.25">
      <c r="A129" t="s">
        <v>282</v>
      </c>
      <c r="B129" t="s">
        <v>327</v>
      </c>
      <c r="C129">
        <v>1964</v>
      </c>
      <c r="F129" t="s">
        <v>334</v>
      </c>
    </row>
    <row r="130" spans="1:6" x14ac:dyDescent="0.25">
      <c r="A130" t="s">
        <v>282</v>
      </c>
      <c r="B130" t="s">
        <v>236</v>
      </c>
      <c r="E130" t="s">
        <v>450</v>
      </c>
    </row>
    <row r="131" spans="1:6" x14ac:dyDescent="0.25">
      <c r="A131" t="s">
        <v>419</v>
      </c>
      <c r="B131" t="s">
        <v>147</v>
      </c>
      <c r="E131" t="s">
        <v>400</v>
      </c>
    </row>
    <row r="132" spans="1:6" x14ac:dyDescent="0.25">
      <c r="A132" t="s">
        <v>424</v>
      </c>
      <c r="B132" t="s">
        <v>352</v>
      </c>
      <c r="E132" t="s">
        <v>400</v>
      </c>
    </row>
    <row r="133" spans="1:6" x14ac:dyDescent="0.25">
      <c r="A133" t="s">
        <v>355</v>
      </c>
      <c r="B133" t="s">
        <v>352</v>
      </c>
      <c r="C133">
        <v>1965</v>
      </c>
    </row>
    <row r="134" spans="1:6" x14ac:dyDescent="0.25">
      <c r="A134" t="s">
        <v>468</v>
      </c>
      <c r="B134" t="s">
        <v>412</v>
      </c>
      <c r="E134" t="s">
        <v>450</v>
      </c>
    </row>
    <row r="135" spans="1:6" x14ac:dyDescent="0.25">
      <c r="A135" t="s">
        <v>460</v>
      </c>
      <c r="B135" t="s">
        <v>461</v>
      </c>
      <c r="E135" t="s">
        <v>450</v>
      </c>
    </row>
    <row r="136" spans="1:6" x14ac:dyDescent="0.25">
      <c r="A136" t="s">
        <v>469</v>
      </c>
      <c r="B136" t="s">
        <v>360</v>
      </c>
      <c r="E136" t="s">
        <v>450</v>
      </c>
    </row>
    <row r="137" spans="1:6" x14ac:dyDescent="0.25">
      <c r="A137" t="s">
        <v>542</v>
      </c>
      <c r="B137" t="s">
        <v>539</v>
      </c>
      <c r="D137">
        <v>1.05233344</v>
      </c>
    </row>
    <row r="138" spans="1:6" x14ac:dyDescent="0.25">
      <c r="A138" t="s">
        <v>542</v>
      </c>
      <c r="B138" t="s">
        <v>133</v>
      </c>
      <c r="D138">
        <v>0.43998423999999997</v>
      </c>
    </row>
    <row r="139" spans="1:6" x14ac:dyDescent="0.25">
      <c r="A139" t="s">
        <v>420</v>
      </c>
      <c r="B139" t="s">
        <v>277</v>
      </c>
      <c r="E139" t="s">
        <v>400</v>
      </c>
    </row>
    <row r="140" spans="1:6" x14ac:dyDescent="0.25">
      <c r="A140" t="s">
        <v>417</v>
      </c>
      <c r="B140" t="s">
        <v>368</v>
      </c>
      <c r="E140" t="s">
        <v>400</v>
      </c>
    </row>
    <row r="141" spans="1:6" x14ac:dyDescent="0.25">
      <c r="A141" t="s">
        <v>345</v>
      </c>
      <c r="B141" t="s">
        <v>222</v>
      </c>
      <c r="C141">
        <v>1961</v>
      </c>
      <c r="F141" t="s">
        <v>348</v>
      </c>
    </row>
    <row r="142" spans="1:6" x14ac:dyDescent="0.25">
      <c r="A142" t="s">
        <v>345</v>
      </c>
      <c r="B142" t="s">
        <v>350</v>
      </c>
      <c r="C142">
        <v>1964</v>
      </c>
      <c r="F142" t="s">
        <v>348</v>
      </c>
    </row>
    <row r="143" spans="1:6" x14ac:dyDescent="0.25">
      <c r="A143" t="s">
        <v>267</v>
      </c>
      <c r="B143" t="s">
        <v>258</v>
      </c>
      <c r="E143" t="s">
        <v>504</v>
      </c>
    </row>
    <row r="144" spans="1:6" x14ac:dyDescent="0.25">
      <c r="A144" t="s">
        <v>267</v>
      </c>
      <c r="B144" t="s">
        <v>261</v>
      </c>
      <c r="C144">
        <v>1962</v>
      </c>
      <c r="F144" t="s">
        <v>268</v>
      </c>
    </row>
    <row r="145" spans="1:6" x14ac:dyDescent="0.25">
      <c r="A145" t="s">
        <v>372</v>
      </c>
      <c r="B145" t="s">
        <v>360</v>
      </c>
      <c r="E145" t="s">
        <v>400</v>
      </c>
    </row>
    <row r="146" spans="1:6" x14ac:dyDescent="0.25">
      <c r="A146" t="s">
        <v>372</v>
      </c>
      <c r="B146" t="s">
        <v>373</v>
      </c>
      <c r="E146" t="s">
        <v>362</v>
      </c>
    </row>
    <row r="147" spans="1:6" x14ac:dyDescent="0.25">
      <c r="A147" t="s">
        <v>541</v>
      </c>
      <c r="B147" t="s">
        <v>539</v>
      </c>
      <c r="D147">
        <v>0.48080752000000004</v>
      </c>
    </row>
    <row r="148" spans="1:6" x14ac:dyDescent="0.25">
      <c r="A148" t="s">
        <v>541</v>
      </c>
      <c r="B148" t="s">
        <v>138</v>
      </c>
      <c r="D148">
        <v>0.20865232</v>
      </c>
    </row>
    <row r="149" spans="1:6" x14ac:dyDescent="0.25">
      <c r="A149" t="s">
        <v>275</v>
      </c>
      <c r="B149" t="s">
        <v>261</v>
      </c>
      <c r="C149">
        <v>1962</v>
      </c>
      <c r="F149" t="s">
        <v>276</v>
      </c>
    </row>
    <row r="150" spans="1:6" x14ac:dyDescent="0.25">
      <c r="A150" t="s">
        <v>519</v>
      </c>
      <c r="B150" t="s">
        <v>473</v>
      </c>
      <c r="E150" t="s">
        <v>510</v>
      </c>
    </row>
    <row r="151" spans="1:6" x14ac:dyDescent="0.25">
      <c r="A151" t="s">
        <v>514</v>
      </c>
      <c r="B151" t="s">
        <v>151</v>
      </c>
      <c r="E151" t="s">
        <v>510</v>
      </c>
    </row>
    <row r="152" spans="1:6" x14ac:dyDescent="0.25">
      <c r="A152" t="s">
        <v>244</v>
      </c>
      <c r="B152" t="s">
        <v>286</v>
      </c>
      <c r="E152" t="s">
        <v>510</v>
      </c>
    </row>
    <row r="153" spans="1:6" x14ac:dyDescent="0.25">
      <c r="A153" t="s">
        <v>244</v>
      </c>
      <c r="B153" t="s">
        <v>525</v>
      </c>
      <c r="E153" t="s">
        <v>510</v>
      </c>
    </row>
    <row r="154" spans="1:6" x14ac:dyDescent="0.25">
      <c r="A154" t="s">
        <v>518</v>
      </c>
      <c r="B154" t="s">
        <v>57</v>
      </c>
      <c r="E154" t="s">
        <v>510</v>
      </c>
    </row>
    <row r="155" spans="1:6" x14ac:dyDescent="0.25">
      <c r="A155" t="s">
        <v>515</v>
      </c>
      <c r="B155" t="s">
        <v>246</v>
      </c>
      <c r="C155">
        <v>1962</v>
      </c>
      <c r="D155" t="s">
        <v>556</v>
      </c>
      <c r="E155" t="s">
        <v>510</v>
      </c>
    </row>
    <row r="156" spans="1:6" x14ac:dyDescent="0.25">
      <c r="A156" t="s">
        <v>515</v>
      </c>
      <c r="B156" t="s">
        <v>114</v>
      </c>
      <c r="E156" t="s">
        <v>510</v>
      </c>
    </row>
    <row r="157" spans="1:6" x14ac:dyDescent="0.25">
      <c r="A157" t="s">
        <v>515</v>
      </c>
      <c r="B157" t="s">
        <v>461</v>
      </c>
      <c r="E157" t="s">
        <v>510</v>
      </c>
    </row>
    <row r="158" spans="1:6" x14ac:dyDescent="0.25">
      <c r="A158" t="s">
        <v>517</v>
      </c>
      <c r="B158" t="s">
        <v>133</v>
      </c>
      <c r="E158" t="s">
        <v>510</v>
      </c>
    </row>
    <row r="159" spans="1:6" x14ac:dyDescent="0.25">
      <c r="A159" t="s">
        <v>516</v>
      </c>
      <c r="B159" t="s">
        <v>186</v>
      </c>
      <c r="E159" t="s">
        <v>510</v>
      </c>
    </row>
    <row r="160" spans="1:6" x14ac:dyDescent="0.25">
      <c r="A160" t="s">
        <v>242</v>
      </c>
      <c r="B160" t="s">
        <v>246</v>
      </c>
      <c r="C160">
        <v>1962</v>
      </c>
      <c r="D160" t="s">
        <v>556</v>
      </c>
      <c r="E160" t="s">
        <v>526</v>
      </c>
    </row>
    <row r="161" spans="1:6" x14ac:dyDescent="0.25">
      <c r="A161" t="s">
        <v>502</v>
      </c>
      <c r="B161" t="s">
        <v>434</v>
      </c>
      <c r="E161" t="s">
        <v>500</v>
      </c>
    </row>
    <row r="162" spans="1:6" x14ac:dyDescent="0.25">
      <c r="A162" t="s">
        <v>378</v>
      </c>
      <c r="B162" t="s">
        <v>236</v>
      </c>
      <c r="E162" t="s">
        <v>362</v>
      </c>
    </row>
    <row r="163" spans="1:6" x14ac:dyDescent="0.25">
      <c r="A163" t="s">
        <v>378</v>
      </c>
      <c r="B163" t="s">
        <v>379</v>
      </c>
      <c r="E163" t="s">
        <v>362</v>
      </c>
    </row>
    <row r="164" spans="1:6" x14ac:dyDescent="0.25">
      <c r="A164" t="s">
        <v>256</v>
      </c>
      <c r="B164" t="s">
        <v>258</v>
      </c>
      <c r="C164">
        <v>1962</v>
      </c>
      <c r="F164" t="s">
        <v>259</v>
      </c>
    </row>
    <row r="165" spans="1:6" x14ac:dyDescent="0.25">
      <c r="A165" t="s">
        <v>256</v>
      </c>
      <c r="B165" t="s">
        <v>258</v>
      </c>
      <c r="E165" t="s">
        <v>362</v>
      </c>
    </row>
    <row r="166" spans="1:6" x14ac:dyDescent="0.25">
      <c r="A166" t="s">
        <v>451</v>
      </c>
      <c r="B166" t="s">
        <v>122</v>
      </c>
      <c r="E166" t="s">
        <v>450</v>
      </c>
    </row>
    <row r="167" spans="1:6" x14ac:dyDescent="0.25">
      <c r="A167" t="s">
        <v>470</v>
      </c>
      <c r="B167" t="s">
        <v>286</v>
      </c>
      <c r="E167" t="s">
        <v>450</v>
      </c>
    </row>
    <row r="168" spans="1:6" x14ac:dyDescent="0.25">
      <c r="A168" t="s">
        <v>511</v>
      </c>
      <c r="B168" t="s">
        <v>186</v>
      </c>
      <c r="E168" t="s">
        <v>510</v>
      </c>
    </row>
    <row r="169" spans="1:6" x14ac:dyDescent="0.25">
      <c r="A169" t="s">
        <v>260</v>
      </c>
      <c r="B169" t="s">
        <v>261</v>
      </c>
      <c r="C169">
        <v>1962</v>
      </c>
      <c r="F169" t="s">
        <v>262</v>
      </c>
    </row>
    <row r="170" spans="1:6" x14ac:dyDescent="0.25">
      <c r="A170" t="s">
        <v>300</v>
      </c>
      <c r="B170" t="s">
        <v>288</v>
      </c>
      <c r="C170">
        <v>1964</v>
      </c>
      <c r="D170">
        <v>7.0306759999999997</v>
      </c>
      <c r="F170" t="s">
        <v>317</v>
      </c>
    </row>
    <row r="171" spans="1:6" x14ac:dyDescent="0.25">
      <c r="A171" t="s">
        <v>300</v>
      </c>
      <c r="B171" t="s">
        <v>288</v>
      </c>
      <c r="E171" t="s">
        <v>429</v>
      </c>
    </row>
    <row r="172" spans="1:6" x14ac:dyDescent="0.25">
      <c r="A172" t="s">
        <v>290</v>
      </c>
      <c r="B172" t="s">
        <v>288</v>
      </c>
      <c r="C172">
        <v>1964</v>
      </c>
      <c r="D172">
        <v>2.4947559999999998</v>
      </c>
      <c r="F172" t="s">
        <v>307</v>
      </c>
    </row>
    <row r="173" spans="1:6" x14ac:dyDescent="0.25">
      <c r="A173" t="s">
        <v>291</v>
      </c>
      <c r="B173" t="s">
        <v>288</v>
      </c>
      <c r="C173">
        <v>1964</v>
      </c>
      <c r="D173">
        <v>5.2163079999999997</v>
      </c>
      <c r="F173" t="s">
        <v>308</v>
      </c>
    </row>
    <row r="174" spans="1:6" x14ac:dyDescent="0.25">
      <c r="A174" t="s">
        <v>335</v>
      </c>
      <c r="B174" t="s">
        <v>370</v>
      </c>
      <c r="E174" t="s">
        <v>429</v>
      </c>
    </row>
    <row r="175" spans="1:6" x14ac:dyDescent="0.25">
      <c r="A175" t="s">
        <v>335</v>
      </c>
      <c r="B175" t="s">
        <v>327</v>
      </c>
      <c r="C175">
        <v>1964</v>
      </c>
      <c r="F175" t="s">
        <v>336</v>
      </c>
    </row>
    <row r="176" spans="1:6" x14ac:dyDescent="0.25">
      <c r="A176" t="s">
        <v>335</v>
      </c>
      <c r="B176" t="s">
        <v>288</v>
      </c>
      <c r="E176" t="s">
        <v>429</v>
      </c>
    </row>
    <row r="177" spans="1:6" x14ac:dyDescent="0.25">
      <c r="A177" t="s">
        <v>384</v>
      </c>
      <c r="B177" t="s">
        <v>63</v>
      </c>
      <c r="E177" t="s">
        <v>362</v>
      </c>
    </row>
    <row r="178" spans="1:6" x14ac:dyDescent="0.25">
      <c r="A178" t="s">
        <v>292</v>
      </c>
      <c r="B178" t="s">
        <v>288</v>
      </c>
      <c r="C178">
        <v>1964</v>
      </c>
      <c r="D178">
        <v>3.4019399999999997</v>
      </c>
      <c r="F178" t="s">
        <v>309</v>
      </c>
    </row>
    <row r="179" spans="1:6" x14ac:dyDescent="0.25">
      <c r="A179" t="s">
        <v>447</v>
      </c>
      <c r="B179" t="s">
        <v>222</v>
      </c>
      <c r="E179" t="s">
        <v>429</v>
      </c>
    </row>
    <row r="180" spans="1:6" x14ac:dyDescent="0.25">
      <c r="A180" t="s">
        <v>377</v>
      </c>
      <c r="B180" t="s">
        <v>376</v>
      </c>
      <c r="E180" t="s">
        <v>362</v>
      </c>
    </row>
    <row r="181" spans="1:6" x14ac:dyDescent="0.25">
      <c r="A181" t="s">
        <v>505</v>
      </c>
      <c r="B181" t="s">
        <v>151</v>
      </c>
      <c r="E181" t="s">
        <v>504</v>
      </c>
    </row>
    <row r="182" spans="1:6" x14ac:dyDescent="0.25">
      <c r="A182" t="s">
        <v>278</v>
      </c>
      <c r="B182" t="s">
        <v>277</v>
      </c>
      <c r="E182" t="s">
        <v>362</v>
      </c>
    </row>
    <row r="183" spans="1:6" x14ac:dyDescent="0.25">
      <c r="A183" t="s">
        <v>278</v>
      </c>
      <c r="B183" t="s">
        <v>236</v>
      </c>
      <c r="E183" t="s">
        <v>362</v>
      </c>
    </row>
    <row r="184" spans="1:6" x14ac:dyDescent="0.25">
      <c r="A184" t="s">
        <v>278</v>
      </c>
      <c r="B184" t="s">
        <v>398</v>
      </c>
      <c r="E184" t="s">
        <v>362</v>
      </c>
    </row>
    <row r="185" spans="1:6" x14ac:dyDescent="0.25">
      <c r="A185" t="s">
        <v>279</v>
      </c>
      <c r="B185" t="s">
        <v>277</v>
      </c>
      <c r="E185" t="s">
        <v>362</v>
      </c>
    </row>
    <row r="186" spans="1:6" x14ac:dyDescent="0.25">
      <c r="A186" t="s">
        <v>534</v>
      </c>
      <c r="B186" t="s">
        <v>390</v>
      </c>
      <c r="E186" t="s">
        <v>526</v>
      </c>
    </row>
    <row r="187" spans="1:6" x14ac:dyDescent="0.25">
      <c r="A187" t="s">
        <v>452</v>
      </c>
      <c r="B187" t="s">
        <v>453</v>
      </c>
      <c r="E187" t="s">
        <v>450</v>
      </c>
    </row>
    <row r="188" spans="1:6" x14ac:dyDescent="0.25">
      <c r="A188" t="s">
        <v>403</v>
      </c>
      <c r="B188" t="s">
        <v>404</v>
      </c>
      <c r="E188" t="s">
        <v>400</v>
      </c>
    </row>
    <row r="189" spans="1:6" x14ac:dyDescent="0.25">
      <c r="A189" t="s">
        <v>91</v>
      </c>
      <c r="B189" t="s">
        <v>288</v>
      </c>
      <c r="C189">
        <v>1964</v>
      </c>
      <c r="D189">
        <v>2.0411640000000002</v>
      </c>
      <c r="F189" t="s">
        <v>323</v>
      </c>
    </row>
    <row r="190" spans="1:6" x14ac:dyDescent="0.25">
      <c r="A190" t="s">
        <v>301</v>
      </c>
      <c r="B190" t="s">
        <v>288</v>
      </c>
      <c r="C190">
        <v>1964</v>
      </c>
      <c r="D190">
        <v>0.90718399999999999</v>
      </c>
      <c r="F190" t="s">
        <v>318</v>
      </c>
    </row>
    <row r="191" spans="1:6" x14ac:dyDescent="0.25">
      <c r="A191" t="s">
        <v>341</v>
      </c>
      <c r="B191" t="s">
        <v>327</v>
      </c>
      <c r="C191">
        <v>1964</v>
      </c>
      <c r="F191" t="s">
        <v>342</v>
      </c>
    </row>
    <row r="192" spans="1:6" x14ac:dyDescent="0.25">
      <c r="A192" t="s">
        <v>449</v>
      </c>
      <c r="B192" t="s">
        <v>186</v>
      </c>
      <c r="E192" t="s">
        <v>429</v>
      </c>
    </row>
    <row r="193" spans="1:9" x14ac:dyDescent="0.25">
      <c r="A193" t="s">
        <v>271</v>
      </c>
      <c r="B193" t="s">
        <v>261</v>
      </c>
      <c r="C193">
        <v>1962</v>
      </c>
      <c r="F193" t="s">
        <v>272</v>
      </c>
    </row>
    <row r="194" spans="1:9" x14ac:dyDescent="0.25">
      <c r="A194" t="s">
        <v>437</v>
      </c>
      <c r="B194" t="s">
        <v>370</v>
      </c>
      <c r="E194" t="s">
        <v>429</v>
      </c>
    </row>
    <row r="195" spans="1:9" x14ac:dyDescent="0.25">
      <c r="A195" t="s">
        <v>442</v>
      </c>
      <c r="B195" t="s">
        <v>186</v>
      </c>
      <c r="E195" t="s">
        <v>429</v>
      </c>
    </row>
    <row r="196" spans="1:9" x14ac:dyDescent="0.25">
      <c r="A196" t="s">
        <v>281</v>
      </c>
      <c r="B196" t="s">
        <v>438</v>
      </c>
      <c r="E196" t="s">
        <v>504</v>
      </c>
    </row>
    <row r="197" spans="1:9" x14ac:dyDescent="0.25">
      <c r="A197" t="s">
        <v>281</v>
      </c>
      <c r="B197" t="s">
        <v>288</v>
      </c>
      <c r="C197">
        <v>1964</v>
      </c>
      <c r="D197">
        <v>7.4842680000000001</v>
      </c>
      <c r="F197" t="s">
        <v>316</v>
      </c>
    </row>
    <row r="198" spans="1:9" x14ac:dyDescent="0.25">
      <c r="A198" t="s">
        <v>281</v>
      </c>
      <c r="B198" t="s">
        <v>360</v>
      </c>
      <c r="E198" t="s">
        <v>504</v>
      </c>
    </row>
    <row r="199" spans="1:9" x14ac:dyDescent="0.25">
      <c r="A199" t="s">
        <v>386</v>
      </c>
      <c r="B199" t="s">
        <v>147</v>
      </c>
      <c r="E199" t="s">
        <v>362</v>
      </c>
    </row>
    <row r="200" spans="1:9" x14ac:dyDescent="0.25">
      <c r="A200" t="s">
        <v>427</v>
      </c>
      <c r="B200" t="s">
        <v>370</v>
      </c>
      <c r="E200" t="s">
        <v>400</v>
      </c>
    </row>
    <row r="201" spans="1:9" x14ac:dyDescent="0.25">
      <c r="A201" t="s">
        <v>427</v>
      </c>
      <c r="B201" t="s">
        <v>288</v>
      </c>
      <c r="E201" t="s">
        <v>400</v>
      </c>
    </row>
    <row r="202" spans="1:9" x14ac:dyDescent="0.25">
      <c r="A202" t="s">
        <v>298</v>
      </c>
      <c r="B202" t="s">
        <v>288</v>
      </c>
      <c r="C202">
        <v>1964</v>
      </c>
      <c r="D202">
        <v>2.26796</v>
      </c>
      <c r="F202" t="s">
        <v>315</v>
      </c>
    </row>
    <row r="203" spans="1:9" x14ac:dyDescent="0.25">
      <c r="A203" t="s">
        <v>503</v>
      </c>
      <c r="B203" t="s">
        <v>147</v>
      </c>
      <c r="E203" t="s">
        <v>504</v>
      </c>
    </row>
    <row r="204" spans="1:9" x14ac:dyDescent="0.25">
      <c r="A204" t="s">
        <v>503</v>
      </c>
      <c r="B204" t="s">
        <v>288</v>
      </c>
      <c r="E204" t="s">
        <v>504</v>
      </c>
    </row>
    <row r="205" spans="1:9" x14ac:dyDescent="0.25">
      <c r="A205" t="s">
        <v>503</v>
      </c>
      <c r="B205" t="s">
        <v>133</v>
      </c>
      <c r="E205" t="s">
        <v>504</v>
      </c>
    </row>
    <row r="206" spans="1:9" x14ac:dyDescent="0.25">
      <c r="A206" t="s">
        <v>366</v>
      </c>
      <c r="B206" t="s">
        <v>63</v>
      </c>
      <c r="E206" t="s">
        <v>362</v>
      </c>
      <c r="F206" t="s">
        <v>559</v>
      </c>
      <c r="G206">
        <f>[1]!MI2KM(163)</f>
        <v>262.32242000000002</v>
      </c>
      <c r="H206">
        <f>[1]!MI2KM(1380)</f>
        <v>2220.8892000000001</v>
      </c>
      <c r="I206">
        <v>936</v>
      </c>
    </row>
    <row r="207" spans="1:9" x14ac:dyDescent="0.25">
      <c r="A207" t="s">
        <v>462</v>
      </c>
      <c r="B207" t="s">
        <v>101</v>
      </c>
      <c r="E207" t="s">
        <v>450</v>
      </c>
    </row>
    <row r="208" spans="1:9" x14ac:dyDescent="0.25">
      <c r="A208" t="s">
        <v>397</v>
      </c>
      <c r="B208" t="s">
        <v>217</v>
      </c>
      <c r="E208" t="s">
        <v>362</v>
      </c>
    </row>
    <row r="209" spans="1:6" x14ac:dyDescent="0.25">
      <c r="A209" t="s">
        <v>533</v>
      </c>
      <c r="B209" t="s">
        <v>222</v>
      </c>
      <c r="E209" t="s">
        <v>526</v>
      </c>
    </row>
    <row r="210" spans="1:6" x14ac:dyDescent="0.25">
      <c r="A210" t="s">
        <v>495</v>
      </c>
      <c r="B210" t="s">
        <v>236</v>
      </c>
      <c r="E210" t="s">
        <v>450</v>
      </c>
    </row>
    <row r="211" spans="1:6" x14ac:dyDescent="0.25">
      <c r="A211" t="s">
        <v>532</v>
      </c>
      <c r="B211" t="s">
        <v>253</v>
      </c>
      <c r="E211" t="s">
        <v>526</v>
      </c>
    </row>
    <row r="212" spans="1:6" x14ac:dyDescent="0.25">
      <c r="A212" t="s">
        <v>532</v>
      </c>
      <c r="B212" t="s">
        <v>258</v>
      </c>
      <c r="E212" t="s">
        <v>526</v>
      </c>
    </row>
    <row r="213" spans="1:6" x14ac:dyDescent="0.25">
      <c r="A213" t="s">
        <v>532</v>
      </c>
      <c r="B213" t="s">
        <v>404</v>
      </c>
      <c r="E213" t="s">
        <v>526</v>
      </c>
    </row>
    <row r="214" spans="1:6" x14ac:dyDescent="0.25">
      <c r="A214" t="s">
        <v>383</v>
      </c>
      <c r="B214" t="s">
        <v>114</v>
      </c>
      <c r="E214" t="s">
        <v>362</v>
      </c>
    </row>
    <row r="215" spans="1:6" x14ac:dyDescent="0.25">
      <c r="A215" t="s">
        <v>289</v>
      </c>
      <c r="B215" t="s">
        <v>288</v>
      </c>
      <c r="C215">
        <v>1964</v>
      </c>
      <c r="D215">
        <v>4.1957259999999996</v>
      </c>
      <c r="F215" t="s">
        <v>306</v>
      </c>
    </row>
    <row r="216" spans="1:6" x14ac:dyDescent="0.25">
      <c r="A216" t="s">
        <v>245</v>
      </c>
      <c r="B216" t="s">
        <v>246</v>
      </c>
      <c r="C216">
        <v>1962</v>
      </c>
      <c r="D216" t="s">
        <v>556</v>
      </c>
      <c r="E216" t="s">
        <v>429</v>
      </c>
    </row>
    <row r="217" spans="1:6" x14ac:dyDescent="0.25">
      <c r="A217" t="s">
        <v>477</v>
      </c>
      <c r="B217" t="s">
        <v>236</v>
      </c>
      <c r="E217" t="s">
        <v>450</v>
      </c>
    </row>
    <row r="218" spans="1:6" x14ac:dyDescent="0.25">
      <c r="A218" t="s">
        <v>466</v>
      </c>
      <c r="B218" t="s">
        <v>236</v>
      </c>
      <c r="E218" t="s">
        <v>450</v>
      </c>
    </row>
    <row r="219" spans="1:6" x14ac:dyDescent="0.25">
      <c r="A219" t="s">
        <v>354</v>
      </c>
      <c r="B219" t="s">
        <v>352</v>
      </c>
      <c r="C219">
        <v>1965</v>
      </c>
    </row>
    <row r="220" spans="1:6" x14ac:dyDescent="0.25">
      <c r="A220" t="s">
        <v>487</v>
      </c>
      <c r="B220" t="s">
        <v>151</v>
      </c>
      <c r="E220" t="s">
        <v>450</v>
      </c>
    </row>
    <row r="221" spans="1:6" x14ac:dyDescent="0.25">
      <c r="A221" t="s">
        <v>498</v>
      </c>
      <c r="B221" t="s">
        <v>352</v>
      </c>
      <c r="E221" t="s">
        <v>450</v>
      </c>
    </row>
    <row r="222" spans="1:6" x14ac:dyDescent="0.25">
      <c r="A222" t="s">
        <v>299</v>
      </c>
      <c r="B222" t="s">
        <v>288</v>
      </c>
      <c r="C222">
        <v>1964</v>
      </c>
      <c r="D222">
        <v>2.1545619999999999</v>
      </c>
      <c r="F222" t="s">
        <v>317</v>
      </c>
    </row>
    <row r="223" spans="1:6" x14ac:dyDescent="0.25">
      <c r="A223" t="s">
        <v>535</v>
      </c>
      <c r="B223" t="s">
        <v>390</v>
      </c>
      <c r="E223" t="s">
        <v>526</v>
      </c>
    </row>
    <row r="224" spans="1:6" x14ac:dyDescent="0.25">
      <c r="A224" t="s">
        <v>527</v>
      </c>
      <c r="B224" t="s">
        <v>528</v>
      </c>
      <c r="E224" t="s">
        <v>526</v>
      </c>
    </row>
    <row r="225" spans="1:6" x14ac:dyDescent="0.25">
      <c r="A225" t="s">
        <v>484</v>
      </c>
      <c r="B225" t="s">
        <v>390</v>
      </c>
      <c r="E225" t="s">
        <v>450</v>
      </c>
    </row>
    <row r="226" spans="1:6" x14ac:dyDescent="0.25">
      <c r="A226" t="s">
        <v>339</v>
      </c>
      <c r="B226" t="s">
        <v>327</v>
      </c>
      <c r="C226">
        <v>1964</v>
      </c>
      <c r="F226" t="s">
        <v>340</v>
      </c>
    </row>
    <row r="227" spans="1:6" x14ac:dyDescent="0.25">
      <c r="A227" t="s">
        <v>486</v>
      </c>
      <c r="B227" t="s">
        <v>327</v>
      </c>
      <c r="E227" t="s">
        <v>450</v>
      </c>
    </row>
    <row r="228" spans="1:6" x14ac:dyDescent="0.25">
      <c r="A228" t="s">
        <v>485</v>
      </c>
      <c r="B228" t="s">
        <v>284</v>
      </c>
      <c r="E228" t="s">
        <v>450</v>
      </c>
    </row>
    <row r="229" spans="1:6" x14ac:dyDescent="0.25">
      <c r="A229" t="s">
        <v>444</v>
      </c>
      <c r="B229" t="s">
        <v>186</v>
      </c>
      <c r="E229" t="s">
        <v>429</v>
      </c>
    </row>
    <row r="230" spans="1:6" x14ac:dyDescent="0.25">
      <c r="A230" t="s">
        <v>479</v>
      </c>
      <c r="B230" t="s">
        <v>480</v>
      </c>
      <c r="E230" t="s">
        <v>450</v>
      </c>
    </row>
    <row r="231" spans="1:6" x14ac:dyDescent="0.25">
      <c r="A231" t="s">
        <v>433</v>
      </c>
      <c r="B231" t="s">
        <v>186</v>
      </c>
      <c r="E231" t="s">
        <v>429</v>
      </c>
    </row>
    <row r="232" spans="1:6" x14ac:dyDescent="0.25">
      <c r="A232" t="s">
        <v>454</v>
      </c>
      <c r="B232" t="s">
        <v>455</v>
      </c>
      <c r="E232" t="s">
        <v>450</v>
      </c>
    </row>
    <row r="233" spans="1:6" x14ac:dyDescent="0.25">
      <c r="A233" t="s">
        <v>374</v>
      </c>
      <c r="B233" t="s">
        <v>253</v>
      </c>
      <c r="E233" t="s">
        <v>362</v>
      </c>
    </row>
    <row r="234" spans="1:6" x14ac:dyDescent="0.25">
      <c r="A234" t="s">
        <v>332</v>
      </c>
      <c r="B234" t="s">
        <v>327</v>
      </c>
      <c r="C234">
        <v>1964</v>
      </c>
      <c r="F234" t="s">
        <v>333</v>
      </c>
    </row>
    <row r="235" spans="1:6" x14ac:dyDescent="0.25">
      <c r="A235" t="s">
        <v>332</v>
      </c>
      <c r="B235" t="s">
        <v>327</v>
      </c>
      <c r="E235" t="s">
        <v>400</v>
      </c>
    </row>
    <row r="236" spans="1:6" x14ac:dyDescent="0.25">
      <c r="A236" t="s">
        <v>332</v>
      </c>
      <c r="B236" t="s">
        <v>288</v>
      </c>
      <c r="E236" t="s">
        <v>400</v>
      </c>
    </row>
    <row r="237" spans="1:6" x14ac:dyDescent="0.25">
      <c r="A237" t="s">
        <v>297</v>
      </c>
      <c r="B237" t="s">
        <v>288</v>
      </c>
      <c r="C237">
        <v>1964</v>
      </c>
      <c r="D237">
        <v>6.5770840000000002</v>
      </c>
      <c r="F237" t="s">
        <v>314</v>
      </c>
    </row>
    <row r="238" spans="1:6" x14ac:dyDescent="0.25">
      <c r="A238" t="s">
        <v>296</v>
      </c>
      <c r="B238" t="s">
        <v>288</v>
      </c>
      <c r="C238">
        <v>1964</v>
      </c>
      <c r="D238">
        <v>2.26796</v>
      </c>
      <c r="F238" t="s">
        <v>313</v>
      </c>
    </row>
    <row r="239" spans="1:6" x14ac:dyDescent="0.25">
      <c r="A239" t="s">
        <v>293</v>
      </c>
      <c r="B239" t="s">
        <v>288</v>
      </c>
      <c r="C239">
        <v>1964</v>
      </c>
      <c r="D239">
        <v>1.814368</v>
      </c>
      <c r="F239" t="s">
        <v>310</v>
      </c>
    </row>
    <row r="240" spans="1:6" x14ac:dyDescent="0.25">
      <c r="A240" t="s">
        <v>506</v>
      </c>
      <c r="B240" t="s">
        <v>327</v>
      </c>
      <c r="E240" t="s">
        <v>504</v>
      </c>
    </row>
    <row r="241" spans="1:6" x14ac:dyDescent="0.25">
      <c r="A241" t="s">
        <v>413</v>
      </c>
      <c r="B241" t="s">
        <v>147</v>
      </c>
      <c r="E241" t="s">
        <v>400</v>
      </c>
    </row>
    <row r="242" spans="1:6" x14ac:dyDescent="0.25">
      <c r="A242" t="s">
        <v>413</v>
      </c>
      <c r="B242" t="s">
        <v>360</v>
      </c>
      <c r="E242" t="s">
        <v>400</v>
      </c>
    </row>
    <row r="243" spans="1:6" x14ac:dyDescent="0.25">
      <c r="A243" t="s">
        <v>540</v>
      </c>
      <c r="B243" t="s">
        <v>539</v>
      </c>
      <c r="D243">
        <v>3.8011009600000003</v>
      </c>
    </row>
    <row r="244" spans="1:6" x14ac:dyDescent="0.25">
      <c r="A244" t="s">
        <v>540</v>
      </c>
      <c r="B244" t="s">
        <v>138</v>
      </c>
      <c r="D244">
        <v>1.44242256</v>
      </c>
      <c r="F244" t="s">
        <v>132</v>
      </c>
    </row>
    <row r="245" spans="1:6" x14ac:dyDescent="0.25">
      <c r="A245" t="s">
        <v>283</v>
      </c>
      <c r="B245" t="s">
        <v>284</v>
      </c>
      <c r="C245">
        <v>1964</v>
      </c>
      <c r="D245">
        <v>172.81855200000001</v>
      </c>
    </row>
    <row r="246" spans="1:6" x14ac:dyDescent="0.25">
      <c r="A246" t="s">
        <v>445</v>
      </c>
      <c r="B246" t="s">
        <v>186</v>
      </c>
      <c r="E246" t="s">
        <v>429</v>
      </c>
    </row>
    <row r="247" spans="1:6" x14ac:dyDescent="0.25">
      <c r="A247" t="s">
        <v>474</v>
      </c>
      <c r="B247" t="s">
        <v>473</v>
      </c>
      <c r="E247" t="s">
        <v>450</v>
      </c>
    </row>
    <row r="248" spans="1:6" x14ac:dyDescent="0.25">
      <c r="A248" t="s">
        <v>265</v>
      </c>
      <c r="B248" t="s">
        <v>261</v>
      </c>
      <c r="C248">
        <v>1962</v>
      </c>
      <c r="F248" t="s">
        <v>266</v>
      </c>
    </row>
    <row r="249" spans="1:6" x14ac:dyDescent="0.25">
      <c r="A249" t="s">
        <v>476</v>
      </c>
      <c r="B249" t="s">
        <v>352</v>
      </c>
      <c r="E249" t="s">
        <v>450</v>
      </c>
    </row>
    <row r="250" spans="1:6" x14ac:dyDescent="0.25">
      <c r="A250" t="s">
        <v>475</v>
      </c>
      <c r="B250" t="s">
        <v>352</v>
      </c>
      <c r="E250" t="s">
        <v>450</v>
      </c>
    </row>
    <row r="251" spans="1:6" x14ac:dyDescent="0.25">
      <c r="A251" t="s">
        <v>357</v>
      </c>
      <c r="B251" t="s">
        <v>352</v>
      </c>
      <c r="C251">
        <v>1965</v>
      </c>
    </row>
    <row r="252" spans="1:6" x14ac:dyDescent="0.25">
      <c r="A252" t="s">
        <v>358</v>
      </c>
      <c r="B252" t="s">
        <v>352</v>
      </c>
      <c r="C252">
        <v>1965</v>
      </c>
    </row>
    <row r="253" spans="1:6" x14ac:dyDescent="0.25">
      <c r="A253" t="s">
        <v>537</v>
      </c>
      <c r="B253" t="s">
        <v>277</v>
      </c>
      <c r="E253" t="s">
        <v>526</v>
      </c>
    </row>
    <row r="254" spans="1:6" x14ac:dyDescent="0.25">
      <c r="A254" t="s">
        <v>303</v>
      </c>
      <c r="B254" t="s">
        <v>288</v>
      </c>
      <c r="C254">
        <v>1964</v>
      </c>
      <c r="D254">
        <v>2.26796</v>
      </c>
      <c r="F254" t="s">
        <v>322</v>
      </c>
    </row>
    <row r="255" spans="1:6" x14ac:dyDescent="0.25">
      <c r="A255" t="s">
        <v>459</v>
      </c>
      <c r="B255" t="s">
        <v>352</v>
      </c>
      <c r="E255" t="s">
        <v>450</v>
      </c>
    </row>
    <row r="256" spans="1:6" x14ac:dyDescent="0.25">
      <c r="A256" t="s">
        <v>496</v>
      </c>
      <c r="B256" t="s">
        <v>412</v>
      </c>
      <c r="E256" t="s">
        <v>450</v>
      </c>
    </row>
    <row r="257" spans="1:5" x14ac:dyDescent="0.25">
      <c r="A257" t="s">
        <v>496</v>
      </c>
      <c r="B257" t="s">
        <v>393</v>
      </c>
      <c r="E257" t="s">
        <v>450</v>
      </c>
    </row>
    <row r="258" spans="1:5" x14ac:dyDescent="0.25">
      <c r="A258" t="s">
        <v>488</v>
      </c>
      <c r="B258" t="s">
        <v>236</v>
      </c>
      <c r="E258" t="s">
        <v>450</v>
      </c>
    </row>
    <row r="259" spans="1:5" x14ac:dyDescent="0.25">
      <c r="A259" t="s">
        <v>488</v>
      </c>
      <c r="B259" t="s">
        <v>101</v>
      </c>
      <c r="E259" t="s">
        <v>450</v>
      </c>
    </row>
    <row r="260" spans="1:5" x14ac:dyDescent="0.25">
      <c r="A260" t="s">
        <v>488</v>
      </c>
      <c r="B260" t="s">
        <v>464</v>
      </c>
      <c r="E260" t="s">
        <v>450</v>
      </c>
    </row>
    <row r="261" spans="1:5" x14ac:dyDescent="0.25">
      <c r="A261" t="s">
        <v>488</v>
      </c>
      <c r="B261" t="s">
        <v>465</v>
      </c>
      <c r="E261" t="s">
        <v>450</v>
      </c>
    </row>
    <row r="262" spans="1:5" x14ac:dyDescent="0.25">
      <c r="A262" t="s">
        <v>488</v>
      </c>
      <c r="B262" t="s">
        <v>491</v>
      </c>
      <c r="E262" t="s">
        <v>450</v>
      </c>
    </row>
    <row r="263" spans="1:5" x14ac:dyDescent="0.25">
      <c r="A263" t="s">
        <v>488</v>
      </c>
      <c r="B263" t="s">
        <v>493</v>
      </c>
      <c r="E263" t="s">
        <v>450</v>
      </c>
    </row>
    <row r="264" spans="1:5" x14ac:dyDescent="0.25">
      <c r="A264" t="s">
        <v>488</v>
      </c>
      <c r="B264" t="s">
        <v>492</v>
      </c>
      <c r="E264" t="s">
        <v>450</v>
      </c>
    </row>
    <row r="265" spans="1:5" x14ac:dyDescent="0.25">
      <c r="A265" t="s">
        <v>488</v>
      </c>
      <c r="B265" t="s">
        <v>494</v>
      </c>
      <c r="E265" t="s">
        <v>450</v>
      </c>
    </row>
    <row r="266" spans="1:5" x14ac:dyDescent="0.25">
      <c r="A266" t="s">
        <v>497</v>
      </c>
      <c r="B266" t="s">
        <v>360</v>
      </c>
      <c r="E266" t="s">
        <v>450</v>
      </c>
    </row>
    <row r="267" spans="1:5" x14ac:dyDescent="0.25">
      <c r="A267" t="s">
        <v>489</v>
      </c>
      <c r="B267" t="s">
        <v>490</v>
      </c>
      <c r="E267" t="s">
        <v>450</v>
      </c>
    </row>
    <row r="268" spans="1:5" x14ac:dyDescent="0.25">
      <c r="A268" t="s">
        <v>353</v>
      </c>
      <c r="B268" t="s">
        <v>352</v>
      </c>
      <c r="C268">
        <v>1965</v>
      </c>
    </row>
    <row r="269" spans="1:5" x14ac:dyDescent="0.25">
      <c r="A269" t="s">
        <v>353</v>
      </c>
      <c r="B269" t="s">
        <v>352</v>
      </c>
      <c r="E269" t="s">
        <v>450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High Particle Astrophysics</vt:lpstr>
      <vt:lpstr>X-Ray Telescopes</vt:lpstr>
      <vt:lpstr>Science Experiments</vt:lpstr>
      <vt:lpstr>Disciplines</vt:lpstr>
      <vt:lpstr>Physics and Astronomy</vt:lpstr>
      <vt:lpstr>Satellite Launches</vt:lpstr>
      <vt:lpstr>References</vt:lpstr>
      <vt:lpstr>Equipment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dc:creator>
  <cp:lastModifiedBy>Dan Paplaczyk</cp:lastModifiedBy>
  <dcterms:created xsi:type="dcterms:W3CDTF">2019-01-26T05:09:21Z</dcterms:created>
  <dcterms:modified xsi:type="dcterms:W3CDTF">2019-02-05T15:17:20Z</dcterms:modified>
</cp:coreProperties>
</file>